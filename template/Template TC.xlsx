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hanc\Downloads\"/>
    </mc:Choice>
  </mc:AlternateContent>
  <xr:revisionPtr revIDLastSave="0" documentId="13_ncr:1_{85F05DA6-C60B-43DC-A894-737E10D0A67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mary" sheetId="14" r:id="rId1"/>
    <sheet name="TCs" sheetId="12" r:id="rId2"/>
    <sheet name="Data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2" l="1"/>
  <c r="B54" i="12"/>
  <c r="B53" i="12"/>
  <c r="B52" i="12"/>
  <c r="B44" i="12"/>
  <c r="B43" i="12"/>
  <c r="B42" i="12"/>
  <c r="B34" i="12"/>
  <c r="B33" i="12"/>
  <c r="B32" i="12"/>
  <c r="B25" i="12"/>
  <c r="B23" i="12"/>
  <c r="B22" i="12"/>
  <c r="B58" i="12"/>
  <c r="B12" i="12"/>
  <c r="B13" i="12"/>
  <c r="B15" i="12"/>
  <c r="H7" i="14"/>
  <c r="G7" i="14"/>
  <c r="F7" i="14"/>
  <c r="E7" i="14"/>
  <c r="D7" i="14"/>
  <c r="C7" i="14"/>
  <c r="I7" i="14" l="1"/>
</calcChain>
</file>

<file path=xl/sharedStrings.xml><?xml version="1.0" encoding="utf-8"?>
<sst xmlns="http://schemas.openxmlformats.org/spreadsheetml/2006/main" count="157" uniqueCount="118">
  <si>
    <t>Summary - Progress testing</t>
  </si>
  <si>
    <t>Passed</t>
  </si>
  <si>
    <t>Failed</t>
  </si>
  <si>
    <t>N/A</t>
  </si>
  <si>
    <t>Blocked</t>
  </si>
  <si>
    <t>Not test yet</t>
  </si>
  <si>
    <t>Sum</t>
  </si>
  <si>
    <t>Progress</t>
  </si>
  <si>
    <t>JEC-8</t>
  </si>
  <si>
    <t>Priority</t>
  </si>
  <si>
    <r>
      <rPr>
        <b/>
        <sz val="11"/>
        <color rgb="FF000000"/>
        <rFont val="Arial"/>
      </rPr>
      <t xml:space="preserve">Notes: </t>
    </r>
    <r>
      <rPr>
        <b/>
        <sz val="11"/>
        <color rgb="FFFF0000"/>
        <rFont val="Arial"/>
      </rPr>
      <t>Have to update the P1 test case before the function is merged to UAT</t>
    </r>
  </si>
  <si>
    <t>Very High</t>
  </si>
  <si>
    <t>Main flow: Full workflow on web (to mobile), Validate required field, Docxtag</t>
  </si>
  <si>
    <t>High</t>
  </si>
  <si>
    <t>Functional cases, component check cases, Additional function cases, Related function cases, Validation cases.</t>
  </si>
  <si>
    <t>Medium</t>
  </si>
  <si>
    <t>Unhappy cases, Edge Cases, Exception cases, Permission</t>
  </si>
  <si>
    <t>Low</t>
  </si>
  <si>
    <t>UI cases, Rare cases</t>
  </si>
  <si>
    <t>Ticket ID</t>
  </si>
  <si>
    <t>Requirement</t>
  </si>
  <si>
    <t>No.</t>
  </si>
  <si>
    <t>Title</t>
  </si>
  <si>
    <t xml:space="preserve">Steps </t>
  </si>
  <si>
    <t>Steps expected result</t>
  </si>
  <si>
    <t>Tags</t>
  </si>
  <si>
    <t>Area Path</t>
  </si>
  <si>
    <t>Status</t>
  </si>
  <si>
    <t>Note</t>
  </si>
  <si>
    <t>Setting - Staff -  Administrator - New permissions are added and granted for administrator user in Advanced tab</t>
  </si>
  <si>
    <t>JEC-8, CGroupInvoice</t>
  </si>
  <si>
    <t>Precondition:
1. Existed Administrator users (E.g. Admin A)</t>
  </si>
  <si>
    <t xml:space="preserve">Navigate to Setting &gt; Staff &gt; Manage User Roles </t>
  </si>
  <si>
    <t xml:space="preserve">Select Administrator role &gt; Open details </t>
  </si>
  <si>
    <t>Click on [Advanced] tab &gt; Verify</t>
  </si>
  <si>
    <t xml:space="preserve">The new permissions added and granted:
- Invoice - Delete Draft 
- Invoice - Batch Delete Draft
- Customer Grouped Invoice - Delete Draft
- Batch of Invoice - Delete Draft Batch
- PPM - Delete Draft Invoice
- Credit - Delete Draft
- Contract Purchase Order - Delete Draft Contract Credit </t>
  </si>
  <si>
    <t>Navigate to Membesr in Role details (E.g. Admin A)</t>
  </si>
  <si>
    <t xml:space="preserve">Verify permissions in Advanced </t>
  </si>
  <si>
    <t>All new permission [Inherit] in role granted from Admin
- Invoice - Delete Draft 
- Invoice - Batch Delete Draft
- Customer Grouped Invoice - Delete Draft
- Batch of Invoice - Delete Draft Batch
- PPM - Delete Draft Invoice
- Credit - Delete Draft
- Contract Purchase Order - Delete Draft Contract Credit Table</t>
  </si>
  <si>
    <t>Create new Admin user &gt; Verify permission in Advance tab</t>
  </si>
  <si>
    <t>All new permission auto [Inherit] in role granted from Admin
- Invoice - Delete Draft 
- Invoice - Batch Delete Draft
- Customer Grouped Invoice - Delete Draft
- Batch of Invoice - Delete Draft Batch
- PPM - Delete Draft Invoice
- Credit - Delete Draft
- Contract Purchase Order - Delete Draft Contract Credit Table</t>
  </si>
  <si>
    <t>Login to JL Web as user this role &gt; Verify on Draft Invoice or Draft Create</t>
  </si>
  <si>
    <t xml:space="preserve">This user role able to delete Drafts by default </t>
  </si>
  <si>
    <t>Try to update in role &gt; make denied permissions for Admin user &gt; Verify</t>
  </si>
  <si>
    <t>The user NOT able to delete Drafts</t>
  </si>
  <si>
    <t>Setting - Staff -  Engineer - New permissions are added and Denied for Engineer user in Advanced tab</t>
  </si>
  <si>
    <t>Precondition:
1. Existed Engineer users (E.g. Engineer E1)</t>
  </si>
  <si>
    <t xml:space="preserve">Select Engineer role &gt; Open details </t>
  </si>
  <si>
    <t>The new permissions added and Denied:
Invoice - Delete Draft 
Invoice - Batch Delete Draft
Customer Grouped Invoice - Delete Draft
Batch of Invoice - Delete Draft Batch
PPM - Delete Draft Invoice</t>
  </si>
  <si>
    <t>Navigate to Membesr in Role details (E.g. Engineer E1)</t>
  </si>
  <si>
    <t>All new permission [Inherit] in role denied from Engineer role 
- Invoice - Delete Draft 
- Invoice - Batch Delete Draft
- Customer Grouped Invoice - Delete Draft
- Batch of Invoice - Delete Draft Batch
- PPM - Delete Draft Invoice
- Credit - Delete Draft
- Contract Purchase Order - Delete Draft Contract Credit Table</t>
  </si>
  <si>
    <t>Create new Engineer user &gt; Verify permission in Advance tab</t>
  </si>
  <si>
    <t>All new permission auto [Inherit] in role denied from Engineer role
- Invoice - Delete Draft 
- Invoice - Batch Delete Draft
- Customer Grouped Invoice - Delete Draft
- Batch of Invoice - Delete Draft Batch
- PPM - Delete Draft Invoice
- Credit - Delete Draft
- Contract Purchase Order - Delete Draft Contract Credit Table</t>
  </si>
  <si>
    <t>This user role NOT able to delete Drafts as by default</t>
  </si>
  <si>
    <t>Try to update in role &gt; Grant permissions for  Engineer user &gt; Verify</t>
  </si>
  <si>
    <t>The user can be delete Drafts</t>
  </si>
  <si>
    <t>Setting - Staff - Costing user - New permissions are added and Denied for Costing user user in Advanced tab</t>
  </si>
  <si>
    <t>Precondition:
1. Existed Costing users (E.g. Costing user C1)</t>
  </si>
  <si>
    <t xml:space="preserve">Select Costing user role &gt; Open details </t>
  </si>
  <si>
    <t>Navigate to Membesr in Role details (E.g. Costing user C1)</t>
  </si>
  <si>
    <t>All new permission [Inherit] in role denied from Costing role 
- Invoice - Delete Draft 
- Invoice - Batch Delete Draft
- Customer Grouped Invoice - Delete Draft
- Batch of Invoice - Delete Draft Batch
- PPM - Delete Draft Invoice
- Credit - Delete Draft
- Contract Purchase Order - Delete Draft Contract Credit Table</t>
  </si>
  <si>
    <t>Create new Costing user &gt; Verify permission in Advance tab</t>
  </si>
  <si>
    <t>All new permission auto [Inherit] in role denied from Costing user role
- Invoice - Delete Draft 
- Invoice - Batch Delete Draft
- Customer Grouped Invoice - Delete Draft
- Batch of Invoice - Delete Draft Batch
- PPM - Delete Draft Invoice
- Credit - Delete Draft
- Contract Purchase Order - Delete Draft Contract Credit Table</t>
  </si>
  <si>
    <t>Try to update in role &gt; Grant permissions for  Costing user &gt; Verify</t>
  </si>
  <si>
    <t>Setting - Staff - Job Desk user - New permissions are added and Denied for Job Desk user in Advanced tab</t>
  </si>
  <si>
    <t>Precondition:
1. Existed Job desk users (E.g. Job desk user D1)</t>
  </si>
  <si>
    <t xml:space="preserve">Select Job Desk user role &gt; Open details </t>
  </si>
  <si>
    <t>Navigate to Membesr in Role details (E.g. Job Desk user D1)</t>
  </si>
  <si>
    <t>All new permission [Inherit] in role denied from Job Desk role 
- Invoice - Delete Draft 
- Invoice - Batch Delete Draft
- Customer Grouped Invoice - Delete Draft
- Batch of Invoice - Delete Draft Batch
- PPM - Delete Draft Invoice
- Credit - Delete Draft
- Contract Purchase Order - Delete Draft Contract Credit Table</t>
  </si>
  <si>
    <t>Create new Job Desk user &gt; Verify permission in Advance tab</t>
  </si>
  <si>
    <t>All new permission auto [Inherit] in role denied from Job Desk user role
- Invoice - Delete Draft 
- Invoice - Batch Delete Draft
- Customer Grouped Invoice - Delete Draft
- Batch of Invoice - Delete Draft Batch
- PPM - Delete Draft Invoice
- Credit - Delete Draft
- Contract Purchase Order - Delete Draft Contract Credit Table</t>
  </si>
  <si>
    <t>This user role NOT able to delete Drafts</t>
  </si>
  <si>
    <t>Try to update in role &gt; Grant permissions for Job Desk user &gt; Verify</t>
  </si>
  <si>
    <t>Invoices - All Invoices - Draft Invoices - Verify system allows user can batch delete all draft invoices if user has granted the permission Invoice - Batch Delete Draft</t>
  </si>
  <si>
    <t xml:space="preserve">Precondition:
1. Existed Administrator users (E.g. Admin A) with Invoice - Batch Delete Draft is granted
2. There are Draft Invoices </t>
  </si>
  <si>
    <t>Navigate to Invoices &gt; All Invoices &gt; Draft Invoices tab</t>
  </si>
  <si>
    <t>Click on three dot on the table &gt; Click on Batch Delete</t>
  </si>
  <si>
    <t>Tick on Agree Terms and click on Delete on the Confirmation popup</t>
  </si>
  <si>
    <t>Verify</t>
  </si>
  <si>
    <t>All Draft Invoices that list out in the Confirmation popup are deleted successful and It's disappeared in the system</t>
  </si>
  <si>
    <t>Invoices - All Invoices - Draft Invoices - Verify system allows user delete a draft invoice if user has granted the permission Invoice - Delete Draft</t>
  </si>
  <si>
    <t xml:space="preserve">Precondition:
1. Existed Administrator users (E.g. Admin A) with Invoice - Delete Draft is granted
2. There are Draft Invoices </t>
  </si>
  <si>
    <t xml:space="preserve">Click on a Draft invoice to open details </t>
  </si>
  <si>
    <t xml:space="preserve">Click on [three dot] button &gt; Click on Delete Invoice </t>
  </si>
  <si>
    <t>The Draft Invoice is deleted successful and It's disappeared in the system</t>
  </si>
  <si>
    <t>TMS\QC Team\JLWeb Test Cases\Registration and Login</t>
  </si>
  <si>
    <t>TMS\QC Team\JLWeb Test Cases\Activation</t>
  </si>
  <si>
    <t>TMS\QC Team\JLWeb Test Cases\Customers</t>
  </si>
  <si>
    <t>TMS\QC Team\JLWeb Test Cases\Sites</t>
  </si>
  <si>
    <t>TMS\QC Team\JLWeb Test Cases\Assets</t>
  </si>
  <si>
    <t>TMS\QC Team\JLWeb Test Cases\Jobs</t>
  </si>
  <si>
    <t>TMS\QC Team\JLWeb Test Cases\Quotes</t>
  </si>
  <si>
    <t>TMS\QC Team\JLWeb Test Cases\Invoices</t>
  </si>
  <si>
    <t>TMS\QC Team\JLWeb Test Cases\PPM</t>
  </si>
  <si>
    <t>TMS\QC Team\JLWeb Test Cases\PO</t>
  </si>
  <si>
    <t>TMS\QC Team\JLWeb Test Cases\Reports</t>
  </si>
  <si>
    <t>TMS\QC Team\JLWeb Test Cases\Projects</t>
  </si>
  <si>
    <t>TMS\QC Team\JLWeb Test Cases\Engineers</t>
  </si>
  <si>
    <t>TMS\QC Team\JLWeb Test Cases\Engineers\Engineer List</t>
  </si>
  <si>
    <t>TMS\QC Team\JLWeb Test Cases\Engineers\All NPT</t>
  </si>
  <si>
    <t>TMS\QC Team\JLWeb Test Cases\Engineers\View Planner</t>
  </si>
  <si>
    <t>TMS\QC Team\JLWeb Test Cases\Engineers\Timesheets</t>
  </si>
  <si>
    <t>TMS\QC Team\JLWeb Test Cases\Engineers\Route Schedule</t>
  </si>
  <si>
    <t>TMS\QC Team\JLWeb Test Cases\Engineers\Live Tracking</t>
  </si>
  <si>
    <t>TMS\QC Team\JLWeb Test Cases\Engineers\History Tracking</t>
  </si>
  <si>
    <t>TMS\QC Team\JLWeb Test Cases\Forms Logbook</t>
  </si>
  <si>
    <t>TMS\QC Team\JLWeb Test Cases\Refcom</t>
  </si>
  <si>
    <t>TMS\QC Team\JLWeb Test Cases\Stock</t>
  </si>
  <si>
    <t>TMS\QC Team\JLWeb Test Cases\Settings</t>
  </si>
  <si>
    <t>TMS\QC Team\JLWeb Test Cases\ToDo List</t>
  </si>
  <si>
    <t>TMS\QC Team\JLWeb Test Cases\IM</t>
  </si>
  <si>
    <t>TMS\QC Team\JLWeb Test Cases\Notifications</t>
  </si>
  <si>
    <t>TMS\QC Team\JLWeb Test Cases\Notifications\Bell</t>
  </si>
  <si>
    <t>TMS\QC Team\JLWeb Test Cases\Notifications\Email</t>
  </si>
  <si>
    <t>TMS\QC Team\JLWeb Test Cases\Notifications\SMS</t>
  </si>
  <si>
    <t>TMS\QC Team\JLWeb Test Cases\Permission</t>
  </si>
  <si>
    <t>TMS\QC Team\Mobile-Legacy\iOS</t>
  </si>
  <si>
    <t>TMS\QC Team\JLWeb Test Cases\Dashboard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</si>
</sst>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0"/>
      <color rgb="FFFF0000"/>
      <name val="Arial"/>
      <charset val="1"/>
    </font>
    <font>
      <b/>
      <sz val="11"/>
      <color rgb="FF000000"/>
      <name val="Arial"/>
    </font>
    <font>
      <b/>
      <sz val="11"/>
      <color rgb="FFFF0000"/>
      <name val="Arial"/>
    </font>
    <font>
      <u/>
      <sz val="10"/>
      <color theme="10"/>
      <name val="Arial"/>
      <scheme val="minor"/>
    </font>
    <font>
      <b/>
      <sz val="12"/>
      <color theme="9" tint="-0.499984740745262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8909C"/>
        <bgColor rgb="FF7890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63D297"/>
        <bgColor rgb="FF63D29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BDAD7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5" fillId="0" borderId="5" xfId="0" applyFont="1" applyBorder="1" applyAlignment="1">
      <alignment vertical="top" wrapText="1" readingOrder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1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5" xfId="0" applyFont="1" applyBorder="1" applyAlignment="1">
      <alignment horizontal="center" vertical="top" wrapText="1" readingOrder="1"/>
    </xf>
    <xf numFmtId="0" fontId="6" fillId="0" borderId="5" xfId="0" applyFont="1" applyBorder="1" applyAlignment="1">
      <alignment vertical="top" wrapText="1" readingOrder="1"/>
    </xf>
    <xf numFmtId="0" fontId="5" fillId="0" borderId="5" xfId="0" applyFont="1" applyBorder="1" applyAlignment="1">
      <alignment horizontal="center" vertical="top" wrapText="1" readingOrder="1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vertical="center" readingOrder="1"/>
    </xf>
    <xf numFmtId="0" fontId="4" fillId="5" borderId="7" xfId="0" applyFont="1" applyFill="1" applyBorder="1" applyAlignment="1">
      <alignment vertical="center" readingOrder="1"/>
    </xf>
    <xf numFmtId="0" fontId="4" fillId="5" borderId="8" xfId="0" applyFont="1" applyFill="1" applyBorder="1" applyAlignment="1">
      <alignment vertical="center" readingOrder="1"/>
    </xf>
    <xf numFmtId="0" fontId="2" fillId="6" borderId="4" xfId="0" applyFont="1" applyFill="1" applyBorder="1" applyAlignment="1">
      <alignment vertical="top"/>
    </xf>
    <xf numFmtId="0" fontId="9" fillId="0" borderId="2" xfId="1" applyBorder="1" applyAlignment="1">
      <alignment vertical="top"/>
    </xf>
    <xf numFmtId="0" fontId="1" fillId="7" borderId="4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vertical="top" wrapText="1"/>
    </xf>
    <xf numFmtId="0" fontId="0" fillId="7" borderId="0" xfId="0" applyFill="1" applyAlignment="1">
      <alignment vertical="top"/>
    </xf>
    <xf numFmtId="0" fontId="0" fillId="0" borderId="5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10" fontId="0" fillId="4" borderId="10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12" borderId="5" xfId="0" applyFont="1" applyFill="1" applyBorder="1"/>
    <xf numFmtId="0" fontId="13" fillId="12" borderId="9" xfId="0" applyFont="1" applyFill="1" applyBorder="1"/>
    <xf numFmtId="0" fontId="12" fillId="0" borderId="5" xfId="0" applyFont="1" applyBorder="1"/>
    <xf numFmtId="0" fontId="12" fillId="0" borderId="9" xfId="0" applyFont="1" applyBorder="1"/>
    <xf numFmtId="0" fontId="11" fillId="7" borderId="4" xfId="0" applyFont="1" applyFill="1" applyBorder="1" applyAlignment="1">
      <alignment vertical="top" wrapText="1"/>
    </xf>
    <xf numFmtId="0" fontId="1" fillId="8" borderId="4" xfId="0" applyFont="1" applyFill="1" applyBorder="1" applyAlignment="1">
      <alignment vertical="top" wrapText="1"/>
    </xf>
    <xf numFmtId="0" fontId="11" fillId="7" borderId="4" xfId="0" quotePrefix="1" applyFont="1" applyFill="1" applyBorder="1" applyAlignment="1">
      <alignment vertical="top" wrapText="1"/>
    </xf>
    <xf numFmtId="0" fontId="1" fillId="7" borderId="14" xfId="0" applyFont="1" applyFill="1" applyBorder="1" applyAlignment="1">
      <alignment vertical="top" wrapText="1"/>
    </xf>
    <xf numFmtId="0" fontId="0" fillId="7" borderId="11" xfId="0" applyFill="1" applyBorder="1" applyAlignment="1">
      <alignment horizontal="left" vertical="top" wrapText="1"/>
    </xf>
    <xf numFmtId="0" fontId="11" fillId="7" borderId="12" xfId="0" applyFont="1" applyFill="1" applyBorder="1" applyAlignment="1">
      <alignment vertical="top" wrapText="1"/>
    </xf>
    <xf numFmtId="0" fontId="1" fillId="7" borderId="12" xfId="0" applyFont="1" applyFill="1" applyBorder="1" applyAlignment="1">
      <alignment horizontal="center" vertical="top"/>
    </xf>
    <xf numFmtId="0" fontId="1" fillId="7" borderId="12" xfId="0" applyFont="1" applyFill="1" applyBorder="1" applyAlignment="1">
      <alignment vertical="top" wrapText="1"/>
    </xf>
    <xf numFmtId="0" fontId="1" fillId="7" borderId="11" xfId="0" applyFont="1" applyFill="1" applyBorder="1" applyAlignment="1">
      <alignment vertical="top" wrapText="1"/>
    </xf>
    <xf numFmtId="0" fontId="0" fillId="13" borderId="11" xfId="0" applyFill="1" applyBorder="1" applyAlignment="1">
      <alignment horizontal="left" vertical="top" wrapText="1"/>
    </xf>
    <xf numFmtId="0" fontId="0" fillId="7" borderId="13" xfId="0" applyFill="1" applyBorder="1" applyAlignment="1">
      <alignment horizontal="left" vertical="top" wrapText="1"/>
    </xf>
    <xf numFmtId="0" fontId="1" fillId="13" borderId="4" xfId="0" applyFont="1" applyFill="1" applyBorder="1" applyAlignment="1">
      <alignment horizontal="center" vertical="top"/>
    </xf>
    <xf numFmtId="0" fontId="14" fillId="7" borderId="4" xfId="0" applyFont="1" applyFill="1" applyBorder="1" applyAlignment="1">
      <alignment vertical="top" wrapText="1"/>
    </xf>
    <xf numFmtId="0" fontId="0" fillId="7" borderId="13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1" fillId="7" borderId="12" xfId="0" applyFont="1" applyFill="1" applyBorder="1" applyAlignment="1">
      <alignment horizontal="left" vertical="top" wrapText="1"/>
    </xf>
    <xf numFmtId="0" fontId="1" fillId="7" borderId="14" xfId="0" applyFont="1" applyFill="1" applyBorder="1" applyAlignment="1">
      <alignment horizontal="left" vertical="top" wrapText="1"/>
    </xf>
    <xf numFmtId="0" fontId="1" fillId="7" borderId="15" xfId="0" applyFont="1" applyFill="1" applyBorder="1" applyAlignment="1">
      <alignment horizontal="left" vertical="top" wrapText="1"/>
    </xf>
    <xf numFmtId="0" fontId="0" fillId="13" borderId="13" xfId="0" applyFill="1" applyBorder="1" applyAlignment="1">
      <alignment horizontal="left" vertical="top" wrapText="1"/>
    </xf>
    <xf numFmtId="0" fontId="0" fillId="13" borderId="11" xfId="0" applyFill="1" applyBorder="1" applyAlignment="1">
      <alignment horizontal="left" vertical="top" wrapText="1"/>
    </xf>
    <xf numFmtId="0" fontId="1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2">
    <dxf>
      <alignment vertical="top"/>
    </dxf>
    <dxf>
      <font>
        <color theme="1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/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3">
    <tableStyle name="Q&amp;A Template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ChecklistTest Case Template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ChecklistTest Case Template-style 2" pivot="0" count="3" xr9:uid="{00000000-0011-0000-FFFF-FFFF02000000}">
      <tableStyleElement type="headerRow" dxfId="15"/>
      <tableStyleElement type="firstRowStripe" dxfId="14"/>
      <tableStyleElement type="secondRowStripe" dxfId="13"/>
    </tableStyle>
  </tableStyles>
  <colors>
    <mruColors>
      <color rgb="FF2C98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F0752B-A66B-41E5-998A-3EA6AC355CFE}" name="Table_33" displayName="Table_33" ref="B11:J41" headerRowDxfId="12" dataDxfId="11" totalsRowDxfId="10">
  <tableColumns count="9">
    <tableColumn id="1" xr3:uid="{38644D5D-1303-4C35-9C0A-F05F3CC98ED7}" name="No." dataDxfId="9"/>
    <tableColumn id="2" xr3:uid="{D721C788-1339-4FE7-AC64-8A37AAAC09B0}" name="Title" dataDxfId="8"/>
    <tableColumn id="3" xr3:uid="{DEA68DA5-7130-42CF-B1EC-5088F966D76A}" name="Steps " dataDxfId="7"/>
    <tableColumn id="4" xr3:uid="{979CF0DA-6984-4EEF-AB10-E09431DFFBFA}" name="Steps expected result" dataDxfId="6"/>
    <tableColumn id="6" xr3:uid="{D78DA6D1-8567-4C06-B02D-C777CEDD4C00}" name="Priority" dataDxfId="5"/>
    <tableColumn id="7" xr3:uid="{388F6DC5-C562-4892-B769-266ACD9E8C1A}" name="Tags" dataDxfId="4"/>
    <tableColumn id="8" xr3:uid="{66BF98ED-0BB7-433D-804B-8000B3938ECF}" name="Area Path" dataDxfId="3"/>
    <tableColumn id="9" xr3:uid="{1CC79BC3-4621-4331-864E-E9075AF7D082}" name="Status" dataDxfId="2"/>
    <tableColumn id="5" xr3:uid="{43DAE9C3-5402-4283-838F-54B92941D52F}" name="Note" dataDxfId="1" totalsRowDxfId="0"/>
  </tableColumns>
  <tableStyleInfo name="ChecklistTest Case Templat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61D1-D97E-4EDD-8414-C09D987F4797}">
  <dimension ref="B4:I7"/>
  <sheetViews>
    <sheetView workbookViewId="0">
      <selection activeCell="J14" sqref="J14"/>
    </sheetView>
  </sheetViews>
  <sheetFormatPr defaultRowHeight="13.2" x14ac:dyDescent="0.25"/>
  <cols>
    <col min="3" max="6" width="11.33203125" customWidth="1"/>
    <col min="7" max="7" width="12.88671875" customWidth="1"/>
    <col min="8" max="8" width="11.33203125" customWidth="1"/>
    <col min="9" max="9" width="12.44140625" customWidth="1"/>
  </cols>
  <sheetData>
    <row r="4" spans="2:9" ht="15.6" x14ac:dyDescent="0.3">
      <c r="B4" s="59" t="s">
        <v>0</v>
      </c>
      <c r="C4" s="59"/>
      <c r="D4" s="59"/>
      <c r="E4" s="59"/>
      <c r="F4" s="59"/>
      <c r="G4" s="59"/>
      <c r="H4" s="59"/>
      <c r="I4" s="59"/>
    </row>
    <row r="6" spans="2:9" ht="27.75" customHeight="1" x14ac:dyDescent="0.25">
      <c r="B6" s="33"/>
      <c r="C6" s="26" t="s">
        <v>1</v>
      </c>
      <c r="D6" s="26" t="s">
        <v>2</v>
      </c>
      <c r="E6" s="26" t="s">
        <v>3</v>
      </c>
      <c r="F6" s="26" t="s">
        <v>4</v>
      </c>
      <c r="G6" s="26" t="s">
        <v>5</v>
      </c>
      <c r="H6" s="30" t="s">
        <v>6</v>
      </c>
      <c r="I6" s="26" t="s">
        <v>7</v>
      </c>
    </row>
    <row r="7" spans="2:9" ht="27.75" customHeight="1" x14ac:dyDescent="0.25">
      <c r="B7" s="25" t="s">
        <v>8</v>
      </c>
      <c r="C7" s="27">
        <f>COUNTIF(TCs!I12:I596, "Passed")</f>
        <v>0</v>
      </c>
      <c r="D7" s="28">
        <f>COUNTIF(TCs!I12:I596, "Failed")</f>
        <v>0</v>
      </c>
      <c r="E7" s="25">
        <f>COUNTIF(TCs!I12:I596, "N/A")</f>
        <v>0</v>
      </c>
      <c r="F7" s="25">
        <f>COUNTIF(TCs!I12:I596, "Blocked")</f>
        <v>0</v>
      </c>
      <c r="G7" s="29">
        <f>COUNTIF(TCs!I12:I596, "Not test yet")</f>
        <v>0</v>
      </c>
      <c r="H7" s="31">
        <f>COUNTIF(TCs!I12:I596, "*")</f>
        <v>0</v>
      </c>
      <c r="I7" s="32" t="e">
        <f>SUM(C7, E7)/H7</f>
        <v>#DIV/0!</v>
      </c>
    </row>
  </sheetData>
  <mergeCells count="1">
    <mergeCell ref="B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44AC-6193-4D9B-9049-C484611D81BD}">
  <sheetPr>
    <outlinePr summaryBelow="0" summaryRight="0"/>
  </sheetPr>
  <dimension ref="A1:J256"/>
  <sheetViews>
    <sheetView showGridLines="0" tabSelected="1" zoomScaleNormal="100" workbookViewId="0">
      <selection activeCell="E12" sqref="E12"/>
    </sheetView>
  </sheetViews>
  <sheetFormatPr defaultColWidth="12.6640625" defaultRowHeight="15.75" customHeight="1" x14ac:dyDescent="0.25"/>
  <cols>
    <col min="1" max="1" width="12.6640625" style="5" customWidth="1"/>
    <col min="2" max="2" width="5.109375" style="5" customWidth="1"/>
    <col min="3" max="3" width="51.109375" style="5" customWidth="1"/>
    <col min="4" max="4" width="52.88671875" style="5" customWidth="1"/>
    <col min="5" max="5" width="56.5546875" style="5" customWidth="1"/>
    <col min="6" max="6" width="8.5546875" style="5" customWidth="1"/>
    <col min="7" max="7" width="22.33203125" style="5" customWidth="1"/>
    <col min="8" max="8" width="33.44140625" style="5" customWidth="1"/>
    <col min="9" max="9" width="10.88671875" style="5" customWidth="1"/>
    <col min="10" max="10" width="12.5546875" style="24" customWidth="1"/>
    <col min="11" max="16384" width="12.6640625" style="5"/>
  </cols>
  <sheetData>
    <row r="1" spans="1:10" ht="15.75" customHeight="1" x14ac:dyDescent="0.25">
      <c r="J1" s="8"/>
    </row>
    <row r="2" spans="1:10" s="8" customFormat="1" ht="13.8" x14ac:dyDescent="0.25">
      <c r="C2" s="17" t="s">
        <v>9</v>
      </c>
      <c r="D2" s="18"/>
      <c r="E2" s="19"/>
      <c r="F2" s="14" t="s">
        <v>10</v>
      </c>
      <c r="G2" s="15"/>
      <c r="H2" s="16"/>
    </row>
    <row r="3" spans="1:10" s="8" customFormat="1" ht="27" customHeight="1" x14ac:dyDescent="0.25">
      <c r="C3" s="9">
        <v>1</v>
      </c>
      <c r="D3" s="10" t="s">
        <v>11</v>
      </c>
      <c r="E3" s="10" t="s">
        <v>12</v>
      </c>
      <c r="F3" s="4"/>
    </row>
    <row r="4" spans="1:10" s="8" customFormat="1" ht="26.4" x14ac:dyDescent="0.25">
      <c r="C4" s="11">
        <v>2</v>
      </c>
      <c r="D4" s="1" t="s">
        <v>13</v>
      </c>
      <c r="E4" s="1" t="s">
        <v>14</v>
      </c>
      <c r="F4" s="4"/>
    </row>
    <row r="5" spans="1:10" s="8" customFormat="1" ht="13.2" x14ac:dyDescent="0.25">
      <c r="C5" s="11">
        <v>3</v>
      </c>
      <c r="D5" s="1" t="s">
        <v>15</v>
      </c>
      <c r="E5" s="1" t="s">
        <v>16</v>
      </c>
      <c r="F5" s="4"/>
    </row>
    <row r="6" spans="1:10" s="8" customFormat="1" ht="13.2" x14ac:dyDescent="0.25">
      <c r="C6" s="11">
        <v>4</v>
      </c>
      <c r="D6" s="1" t="s">
        <v>17</v>
      </c>
      <c r="E6" s="1" t="s">
        <v>18</v>
      </c>
      <c r="F6" s="4"/>
      <c r="H6" s="4"/>
    </row>
    <row r="7" spans="1:10" ht="13.2" x14ac:dyDescent="0.25">
      <c r="B7" s="2"/>
      <c r="C7" s="3"/>
      <c r="D7" s="4"/>
      <c r="E7" s="4"/>
      <c r="G7" s="4"/>
      <c r="J7" s="8"/>
    </row>
    <row r="8" spans="1:10" ht="13.2" x14ac:dyDescent="0.25">
      <c r="B8" s="2"/>
      <c r="C8" s="3"/>
      <c r="D8" s="4"/>
      <c r="E8" s="4"/>
      <c r="G8" s="4"/>
      <c r="J8" s="8"/>
    </row>
    <row r="9" spans="1:10" ht="13.2" x14ac:dyDescent="0.25">
      <c r="C9" s="6" t="s">
        <v>19</v>
      </c>
      <c r="D9" s="21"/>
      <c r="E9" s="7"/>
      <c r="G9" s="4"/>
      <c r="J9" s="8"/>
    </row>
    <row r="10" spans="1:10" ht="13.2" x14ac:dyDescent="0.25">
      <c r="B10" s="3"/>
      <c r="C10" s="3"/>
      <c r="D10" s="4"/>
      <c r="E10" s="4"/>
      <c r="J10" s="8"/>
    </row>
    <row r="11" spans="1:10" ht="13.2" x14ac:dyDescent="0.25">
      <c r="A11" s="20" t="s">
        <v>20</v>
      </c>
      <c r="B11" s="12" t="s">
        <v>21</v>
      </c>
      <c r="C11" s="13" t="s">
        <v>22</v>
      </c>
      <c r="D11" s="13" t="s">
        <v>23</v>
      </c>
      <c r="E11" s="12" t="s">
        <v>24</v>
      </c>
      <c r="F11" s="13" t="s">
        <v>9</v>
      </c>
      <c r="G11" s="12" t="s">
        <v>25</v>
      </c>
      <c r="H11" s="12" t="s">
        <v>26</v>
      </c>
      <c r="I11" s="12" t="s">
        <v>27</v>
      </c>
      <c r="J11" s="12" t="s">
        <v>28</v>
      </c>
    </row>
    <row r="12" spans="1:10" ht="26.4" x14ac:dyDescent="0.25">
      <c r="A12" s="57"/>
      <c r="B12" s="22">
        <f>IF(C12="","",SUBTOTAL(3,$C$12:C12))</f>
        <v>1</v>
      </c>
      <c r="C12" s="23" t="s">
        <v>29</v>
      </c>
      <c r="D12" s="40"/>
      <c r="E12" s="40"/>
      <c r="F12" s="23">
        <v>1</v>
      </c>
      <c r="G12" s="39" t="s">
        <v>30</v>
      </c>
      <c r="H12" s="23" t="s">
        <v>92</v>
      </c>
      <c r="I12" s="23"/>
      <c r="J12" s="23"/>
    </row>
    <row r="13" spans="1:10" ht="26.4" x14ac:dyDescent="0.25">
      <c r="A13" s="58"/>
      <c r="B13" s="22" t="str">
        <f>IF(C13="","",SUBTOTAL(3,$C$12:C13))</f>
        <v/>
      </c>
      <c r="C13" s="23"/>
      <c r="D13" s="23" t="s">
        <v>31</v>
      </c>
      <c r="E13" s="23"/>
      <c r="F13" s="23"/>
      <c r="G13" s="23"/>
      <c r="H13" s="23"/>
      <c r="I13" s="23"/>
      <c r="J13" s="23"/>
    </row>
    <row r="14" spans="1:10" ht="13.2" x14ac:dyDescent="0.25">
      <c r="A14" s="58"/>
      <c r="B14" s="22"/>
      <c r="C14" s="23"/>
      <c r="D14" s="23" t="s">
        <v>32</v>
      </c>
      <c r="E14" s="23"/>
      <c r="F14" s="23"/>
      <c r="G14" s="23"/>
      <c r="H14" s="23"/>
      <c r="I14" s="23"/>
      <c r="J14" s="23"/>
    </row>
    <row r="15" spans="1:10" ht="13.2" x14ac:dyDescent="0.25">
      <c r="A15" s="58"/>
      <c r="B15" s="22" t="str">
        <f>IF(C15="","",SUBTOTAL(3,$C$12:C15))</f>
        <v/>
      </c>
      <c r="C15" s="23"/>
      <c r="D15" s="39" t="s">
        <v>33</v>
      </c>
      <c r="E15" s="39"/>
      <c r="F15" s="23"/>
      <c r="G15" s="23"/>
      <c r="H15" s="23"/>
      <c r="I15" s="23"/>
      <c r="J15" s="23"/>
    </row>
    <row r="16" spans="1:10" ht="105.6" x14ac:dyDescent="0.25">
      <c r="A16" s="58"/>
      <c r="B16" s="22"/>
      <c r="C16" s="23"/>
      <c r="D16" s="39" t="s">
        <v>34</v>
      </c>
      <c r="E16" s="39" t="s">
        <v>35</v>
      </c>
      <c r="F16" s="23"/>
      <c r="G16" s="23"/>
      <c r="H16" s="23"/>
      <c r="I16" s="23"/>
      <c r="J16" s="23"/>
    </row>
    <row r="17" spans="1:10" ht="13.2" x14ac:dyDescent="0.25">
      <c r="A17" s="58"/>
      <c r="B17" s="22"/>
      <c r="C17" s="23"/>
      <c r="D17" s="39" t="s">
        <v>36</v>
      </c>
      <c r="E17" s="39"/>
      <c r="F17" s="23"/>
      <c r="G17" s="23"/>
      <c r="H17" s="23"/>
      <c r="I17" s="23"/>
      <c r="J17" s="23"/>
    </row>
    <row r="18" spans="1:10" ht="105.6" x14ac:dyDescent="0.25">
      <c r="A18" s="48"/>
      <c r="B18" s="22"/>
      <c r="C18" s="23"/>
      <c r="D18" s="39" t="s">
        <v>37</v>
      </c>
      <c r="E18" s="39" t="s">
        <v>38</v>
      </c>
      <c r="F18" s="23"/>
      <c r="G18" s="23"/>
      <c r="H18" s="23"/>
      <c r="I18" s="23"/>
      <c r="J18" s="23"/>
    </row>
    <row r="19" spans="1:10" ht="105.6" x14ac:dyDescent="0.25">
      <c r="A19" s="48"/>
      <c r="B19" s="22"/>
      <c r="C19" s="23"/>
      <c r="D19" s="39" t="s">
        <v>39</v>
      </c>
      <c r="E19" s="39" t="s">
        <v>40</v>
      </c>
      <c r="F19" s="23"/>
      <c r="G19" s="23"/>
      <c r="H19" s="23"/>
      <c r="I19" s="23"/>
      <c r="J19" s="23"/>
    </row>
    <row r="20" spans="1:10" ht="26.4" x14ac:dyDescent="0.25">
      <c r="A20" s="48"/>
      <c r="B20" s="22"/>
      <c r="C20" s="23"/>
      <c r="D20" s="39" t="s">
        <v>41</v>
      </c>
      <c r="E20" s="39" t="s">
        <v>42</v>
      </c>
      <c r="F20" s="23"/>
      <c r="G20" s="23"/>
      <c r="H20" s="23"/>
      <c r="I20" s="23"/>
      <c r="J20" s="23"/>
    </row>
    <row r="21" spans="1:10" ht="26.4" x14ac:dyDescent="0.25">
      <c r="A21" s="48"/>
      <c r="B21" s="22"/>
      <c r="C21" s="23"/>
      <c r="D21" s="39" t="s">
        <v>43</v>
      </c>
      <c r="E21" s="39" t="s">
        <v>44</v>
      </c>
      <c r="F21" s="23"/>
      <c r="G21" s="23"/>
      <c r="H21" s="23"/>
      <c r="I21" s="23"/>
      <c r="J21" s="23"/>
    </row>
    <row r="22" spans="1:10" ht="52.95" customHeight="1" x14ac:dyDescent="0.25">
      <c r="A22" s="52"/>
      <c r="B22" s="22">
        <f>IF(C22="","",SUBTOTAL(3,$C$12:C22))</f>
        <v>2</v>
      </c>
      <c r="C22" s="23" t="s">
        <v>45</v>
      </c>
      <c r="D22" s="40"/>
      <c r="E22" s="40"/>
      <c r="F22" s="23">
        <v>1</v>
      </c>
      <c r="G22" s="39" t="s">
        <v>30</v>
      </c>
      <c r="H22" s="23" t="s">
        <v>92</v>
      </c>
      <c r="I22" s="23"/>
      <c r="J22" s="23"/>
    </row>
    <row r="23" spans="1:10" ht="26.4" x14ac:dyDescent="0.25">
      <c r="A23" s="53"/>
      <c r="B23" s="22" t="str">
        <f>IF(C23="","",SUBTOTAL(3,$C$12:C23))</f>
        <v/>
      </c>
      <c r="C23" s="23"/>
      <c r="D23" s="23" t="s">
        <v>46</v>
      </c>
      <c r="E23" s="23"/>
      <c r="F23" s="23"/>
      <c r="G23" s="23"/>
      <c r="H23" s="23"/>
      <c r="I23" s="23"/>
      <c r="J23" s="23"/>
    </row>
    <row r="24" spans="1:10" ht="13.2" x14ac:dyDescent="0.25">
      <c r="A24" s="53"/>
      <c r="B24" s="22"/>
      <c r="C24" s="23"/>
      <c r="D24" s="23" t="s">
        <v>32</v>
      </c>
      <c r="E24" s="23"/>
      <c r="F24" s="23"/>
      <c r="G24" s="23"/>
      <c r="H24" s="23"/>
      <c r="I24" s="23"/>
      <c r="J24" s="23"/>
    </row>
    <row r="25" spans="1:10" ht="13.2" customHeight="1" x14ac:dyDescent="0.25">
      <c r="A25" s="53"/>
      <c r="B25" s="22" t="str">
        <f>IF(C25="","",SUBTOTAL(3,$C$12:C25))</f>
        <v/>
      </c>
      <c r="C25" s="23"/>
      <c r="D25" s="39" t="s">
        <v>47</v>
      </c>
      <c r="E25" s="39"/>
      <c r="F25" s="23"/>
      <c r="G25" s="23"/>
      <c r="H25" s="23"/>
      <c r="I25" s="23"/>
      <c r="J25" s="23"/>
    </row>
    <row r="26" spans="1:10" ht="79.2" x14ac:dyDescent="0.25">
      <c r="A26" s="43"/>
      <c r="B26" s="22"/>
      <c r="C26" s="23"/>
      <c r="D26" s="39" t="s">
        <v>34</v>
      </c>
      <c r="E26" s="39" t="s">
        <v>48</v>
      </c>
      <c r="F26" s="23"/>
      <c r="G26" s="23"/>
      <c r="H26" s="23"/>
      <c r="I26" s="23"/>
      <c r="J26" s="23"/>
    </row>
    <row r="27" spans="1:10" ht="13.2" x14ac:dyDescent="0.25">
      <c r="A27" s="43"/>
      <c r="B27" s="22"/>
      <c r="C27" s="23"/>
      <c r="D27" s="39" t="s">
        <v>49</v>
      </c>
      <c r="E27" s="39"/>
      <c r="F27" s="23"/>
      <c r="G27" s="23"/>
      <c r="H27" s="23"/>
      <c r="I27" s="23"/>
      <c r="J27" s="23"/>
    </row>
    <row r="28" spans="1:10" ht="105.6" x14ac:dyDescent="0.25">
      <c r="A28" s="43"/>
      <c r="B28" s="22"/>
      <c r="C28" s="23"/>
      <c r="D28" s="39" t="s">
        <v>37</v>
      </c>
      <c r="E28" s="39" t="s">
        <v>50</v>
      </c>
      <c r="F28" s="23"/>
      <c r="G28" s="23"/>
      <c r="H28" s="23"/>
      <c r="I28" s="23"/>
      <c r="J28" s="23"/>
    </row>
    <row r="29" spans="1:10" ht="105.6" x14ac:dyDescent="0.25">
      <c r="A29" s="43"/>
      <c r="B29" s="45"/>
      <c r="C29" s="46"/>
      <c r="D29" s="39" t="s">
        <v>51</v>
      </c>
      <c r="E29" s="39" t="s">
        <v>52</v>
      </c>
      <c r="F29" s="46"/>
      <c r="G29" s="44"/>
      <c r="H29" s="44"/>
      <c r="I29" s="46"/>
      <c r="J29" s="46"/>
    </row>
    <row r="30" spans="1:10" ht="26.4" x14ac:dyDescent="0.25">
      <c r="A30" s="43"/>
      <c r="B30" s="45"/>
      <c r="C30" s="46"/>
      <c r="D30" s="39" t="s">
        <v>41</v>
      </c>
      <c r="E30" s="39" t="s">
        <v>53</v>
      </c>
      <c r="F30" s="46"/>
      <c r="G30" s="44"/>
      <c r="H30" s="44"/>
      <c r="I30" s="46"/>
      <c r="J30" s="23"/>
    </row>
    <row r="31" spans="1:10" ht="26.4" x14ac:dyDescent="0.25">
      <c r="A31" s="43"/>
      <c r="B31" s="45"/>
      <c r="C31" s="46"/>
      <c r="D31" s="39" t="s">
        <v>54</v>
      </c>
      <c r="E31" s="39" t="s">
        <v>55</v>
      </c>
      <c r="F31" s="46"/>
      <c r="G31" s="44"/>
      <c r="H31" s="44"/>
      <c r="I31" s="46"/>
      <c r="J31" s="23"/>
    </row>
    <row r="32" spans="1:10" ht="26.4" x14ac:dyDescent="0.25">
      <c r="A32" s="52"/>
      <c r="B32" s="22">
        <f>IF(C32="","",SUBTOTAL(3,$C$12:C32))</f>
        <v>3</v>
      </c>
      <c r="C32" s="23" t="s">
        <v>56</v>
      </c>
      <c r="D32" s="40"/>
      <c r="E32" s="40"/>
      <c r="F32" s="23">
        <v>1</v>
      </c>
      <c r="G32" s="39" t="s">
        <v>30</v>
      </c>
      <c r="H32" s="23" t="s">
        <v>92</v>
      </c>
      <c r="I32" s="23"/>
      <c r="J32" s="23"/>
    </row>
    <row r="33" spans="1:10" ht="26.4" x14ac:dyDescent="0.25">
      <c r="A33" s="53"/>
      <c r="B33" s="22" t="str">
        <f>IF(C33="","",SUBTOTAL(3,$C$12:C33))</f>
        <v/>
      </c>
      <c r="C33" s="23"/>
      <c r="D33" s="23" t="s">
        <v>57</v>
      </c>
      <c r="E33" s="23"/>
      <c r="F33" s="23"/>
      <c r="G33" s="23"/>
      <c r="H33" s="23"/>
      <c r="I33" s="23"/>
      <c r="J33" s="23"/>
    </row>
    <row r="34" spans="1:10" ht="13.2" x14ac:dyDescent="0.25">
      <c r="A34" s="53"/>
      <c r="B34" s="22" t="str">
        <f>IF(C34="","",SUBTOTAL(3,$C$12:C34))</f>
        <v/>
      </c>
      <c r="C34" s="23"/>
      <c r="D34" s="23" t="s">
        <v>32</v>
      </c>
      <c r="E34" s="23"/>
      <c r="F34" s="23"/>
      <c r="G34" s="23"/>
      <c r="H34" s="23"/>
      <c r="I34" s="23"/>
      <c r="J34" s="23"/>
    </row>
    <row r="35" spans="1:10" ht="13.2" x14ac:dyDescent="0.25">
      <c r="A35" s="43"/>
      <c r="B35" s="22"/>
      <c r="C35" s="23"/>
      <c r="D35" s="39" t="s">
        <v>58</v>
      </c>
      <c r="E35" s="39"/>
      <c r="F35" s="23"/>
      <c r="G35" s="23"/>
      <c r="H35" s="23"/>
      <c r="I35" s="23"/>
      <c r="J35" s="23"/>
    </row>
    <row r="36" spans="1:10" ht="79.2" x14ac:dyDescent="0.25">
      <c r="A36" s="43"/>
      <c r="B36" s="22"/>
      <c r="C36" s="23"/>
      <c r="D36" s="39" t="s">
        <v>34</v>
      </c>
      <c r="E36" s="39" t="s">
        <v>48</v>
      </c>
      <c r="F36" s="23"/>
      <c r="G36" s="23"/>
      <c r="H36" s="23"/>
      <c r="I36" s="23"/>
      <c r="J36" s="23"/>
    </row>
    <row r="37" spans="1:10" ht="13.2" x14ac:dyDescent="0.25">
      <c r="A37" s="43"/>
      <c r="B37" s="22"/>
      <c r="C37" s="23"/>
      <c r="D37" s="39" t="s">
        <v>59</v>
      </c>
      <c r="E37" s="39"/>
      <c r="F37" s="23"/>
      <c r="G37" s="23"/>
      <c r="H37" s="23"/>
      <c r="I37" s="23"/>
      <c r="J37" s="23"/>
    </row>
    <row r="38" spans="1:10" ht="105.6" x14ac:dyDescent="0.25">
      <c r="A38" s="43"/>
      <c r="B38" s="45"/>
      <c r="C38" s="23"/>
      <c r="D38" s="39" t="s">
        <v>37</v>
      </c>
      <c r="E38" s="39" t="s">
        <v>60</v>
      </c>
      <c r="F38" s="46"/>
      <c r="G38" s="44"/>
      <c r="H38" s="44"/>
      <c r="I38" s="46"/>
      <c r="J38" s="46"/>
    </row>
    <row r="39" spans="1:10" ht="118.8" x14ac:dyDescent="0.25">
      <c r="A39" s="43"/>
      <c r="B39" s="45"/>
      <c r="C39" s="46"/>
      <c r="D39" s="39" t="s">
        <v>61</v>
      </c>
      <c r="E39" s="39" t="s">
        <v>62</v>
      </c>
      <c r="F39" s="46"/>
      <c r="G39" s="44"/>
      <c r="H39" s="44"/>
      <c r="I39" s="46"/>
      <c r="J39" s="46"/>
    </row>
    <row r="40" spans="1:10" ht="26.4" x14ac:dyDescent="0.25">
      <c r="A40" s="43"/>
      <c r="B40" s="45"/>
      <c r="C40" s="46"/>
      <c r="D40" s="39" t="s">
        <v>41</v>
      </c>
      <c r="E40" s="39" t="s">
        <v>53</v>
      </c>
      <c r="F40" s="46"/>
      <c r="G40" s="44"/>
      <c r="H40" s="44"/>
      <c r="I40" s="46"/>
      <c r="J40" s="23"/>
    </row>
    <row r="41" spans="1:10" ht="26.4" x14ac:dyDescent="0.25">
      <c r="A41" s="43"/>
      <c r="B41" s="45"/>
      <c r="C41" s="46"/>
      <c r="D41" s="39" t="s">
        <v>63</v>
      </c>
      <c r="E41" s="39" t="s">
        <v>55</v>
      </c>
      <c r="F41" s="46"/>
      <c r="G41" s="44"/>
      <c r="H41" s="44"/>
      <c r="I41" s="46"/>
      <c r="J41" s="46"/>
    </row>
    <row r="42" spans="1:10" ht="26.4" x14ac:dyDescent="0.25">
      <c r="A42" s="52"/>
      <c r="B42" s="22">
        <f>IF(C42="","",SUBTOTAL(3,$C$12:C42))</f>
        <v>4</v>
      </c>
      <c r="C42" s="23" t="s">
        <v>64</v>
      </c>
      <c r="D42" s="40"/>
      <c r="E42" s="40"/>
      <c r="F42" s="23">
        <v>1</v>
      </c>
      <c r="G42" s="39" t="s">
        <v>30</v>
      </c>
      <c r="H42" s="23" t="s">
        <v>92</v>
      </c>
      <c r="I42" s="23"/>
      <c r="J42" s="23"/>
    </row>
    <row r="43" spans="1:10" ht="26.4" x14ac:dyDescent="0.25">
      <c r="A43" s="53"/>
      <c r="B43" s="22" t="str">
        <f>IF(C43="","",SUBTOTAL(3,$C$12:C43))</f>
        <v/>
      </c>
      <c r="C43" s="23"/>
      <c r="D43" s="23" t="s">
        <v>65</v>
      </c>
      <c r="E43" s="23"/>
      <c r="F43" s="23"/>
      <c r="G43" s="23"/>
      <c r="H43" s="23"/>
      <c r="I43" s="23"/>
      <c r="J43" s="23"/>
    </row>
    <row r="44" spans="1:10" ht="13.2" x14ac:dyDescent="0.25">
      <c r="A44" s="53"/>
      <c r="B44" s="22" t="str">
        <f>IF(C44="","",SUBTOTAL(3,$C$12:C44))</f>
        <v/>
      </c>
      <c r="C44" s="23"/>
      <c r="D44" s="23" t="s">
        <v>32</v>
      </c>
      <c r="E44" s="23"/>
      <c r="F44" s="23"/>
      <c r="G44" s="23"/>
      <c r="H44" s="23"/>
      <c r="I44" s="23"/>
      <c r="J44" s="23"/>
    </row>
    <row r="45" spans="1:10" ht="13.2" x14ac:dyDescent="0.25">
      <c r="A45" s="43"/>
      <c r="B45" s="22"/>
      <c r="C45" s="23"/>
      <c r="D45" s="39" t="s">
        <v>66</v>
      </c>
      <c r="E45" s="39"/>
      <c r="F45" s="23"/>
      <c r="G45" s="23"/>
      <c r="H45" s="23"/>
      <c r="I45" s="23"/>
      <c r="J45" s="23"/>
    </row>
    <row r="46" spans="1:10" ht="79.2" x14ac:dyDescent="0.25">
      <c r="A46" s="43"/>
      <c r="B46" s="22"/>
      <c r="C46" s="23"/>
      <c r="D46" s="39" t="s">
        <v>34</v>
      </c>
      <c r="E46" s="39" t="s">
        <v>48</v>
      </c>
      <c r="F46" s="23"/>
      <c r="G46" s="23"/>
      <c r="H46" s="23"/>
      <c r="I46" s="23"/>
      <c r="J46" s="23"/>
    </row>
    <row r="47" spans="1:10" ht="13.2" x14ac:dyDescent="0.25">
      <c r="A47" s="43"/>
      <c r="B47" s="45"/>
      <c r="C47" s="23"/>
      <c r="D47" s="39" t="s">
        <v>67</v>
      </c>
      <c r="E47" s="39"/>
      <c r="F47" s="46"/>
      <c r="G47" s="44"/>
      <c r="H47" s="44"/>
      <c r="I47" s="46"/>
      <c r="J47" s="46"/>
    </row>
    <row r="48" spans="1:10" ht="105.6" x14ac:dyDescent="0.25">
      <c r="A48" s="43"/>
      <c r="B48" s="45"/>
      <c r="C48" s="23"/>
      <c r="D48" s="39" t="s">
        <v>37</v>
      </c>
      <c r="E48" s="39" t="s">
        <v>68</v>
      </c>
      <c r="F48" s="46"/>
      <c r="G48" s="44"/>
      <c r="H48" s="44"/>
      <c r="I48" s="46"/>
      <c r="J48" s="46"/>
    </row>
    <row r="49" spans="1:10" ht="118.8" x14ac:dyDescent="0.25">
      <c r="A49" s="43"/>
      <c r="B49" s="45"/>
      <c r="C49" s="46"/>
      <c r="D49" s="39" t="s">
        <v>69</v>
      </c>
      <c r="E49" s="39" t="s">
        <v>70</v>
      </c>
      <c r="F49" s="46"/>
      <c r="G49" s="44"/>
      <c r="H49" s="44"/>
      <c r="I49" s="46"/>
      <c r="J49" s="46"/>
    </row>
    <row r="50" spans="1:10" ht="26.4" x14ac:dyDescent="0.25">
      <c r="A50" s="43"/>
      <c r="B50" s="45"/>
      <c r="C50" s="46"/>
      <c r="D50" s="39" t="s">
        <v>41</v>
      </c>
      <c r="E50" s="39" t="s">
        <v>71</v>
      </c>
      <c r="F50" s="46"/>
      <c r="G50" s="44"/>
      <c r="H50" s="44"/>
      <c r="I50" s="46"/>
      <c r="J50" s="46"/>
    </row>
    <row r="51" spans="1:10" ht="26.4" x14ac:dyDescent="0.25">
      <c r="A51" s="43"/>
      <c r="B51" s="45"/>
      <c r="C51" s="46"/>
      <c r="D51" s="39" t="s">
        <v>72</v>
      </c>
      <c r="E51" s="39" t="s">
        <v>55</v>
      </c>
      <c r="F51" s="46"/>
      <c r="G51" s="44"/>
      <c r="H51" s="44"/>
      <c r="I51" s="46"/>
      <c r="J51" s="46"/>
    </row>
    <row r="52" spans="1:10" ht="39.6" x14ac:dyDescent="0.25">
      <c r="A52" s="52"/>
      <c r="B52" s="22">
        <f>IF(C52="","",SUBTOTAL(3,$C$12:C52))</f>
        <v>5</v>
      </c>
      <c r="C52" s="23" t="s">
        <v>73</v>
      </c>
      <c r="D52" s="40"/>
      <c r="E52" s="40"/>
      <c r="F52" s="23">
        <v>1</v>
      </c>
      <c r="G52" s="39" t="s">
        <v>30</v>
      </c>
      <c r="H52" s="23" t="s">
        <v>92</v>
      </c>
      <c r="I52" s="23"/>
      <c r="J52" s="23"/>
    </row>
    <row r="53" spans="1:10" ht="52.8" x14ac:dyDescent="0.25">
      <c r="A53" s="53"/>
      <c r="B53" s="22" t="str">
        <f>IF(C53="","",SUBTOTAL(3,$C$12:C53))</f>
        <v/>
      </c>
      <c r="C53" s="23"/>
      <c r="D53" s="23" t="s">
        <v>74</v>
      </c>
      <c r="E53" s="23"/>
      <c r="F53" s="23"/>
      <c r="G53" s="23"/>
      <c r="H53" s="23"/>
      <c r="I53" s="23"/>
      <c r="J53" s="23"/>
    </row>
    <row r="54" spans="1:10" ht="13.2" x14ac:dyDescent="0.25">
      <c r="A54" s="53"/>
      <c r="B54" s="22" t="str">
        <f>IF(C54="","",SUBTOTAL(3,$C$12:C54))</f>
        <v/>
      </c>
      <c r="C54" s="23"/>
      <c r="D54" s="39" t="s">
        <v>75</v>
      </c>
      <c r="E54" s="39"/>
      <c r="F54" s="23"/>
      <c r="G54" s="23"/>
      <c r="H54" s="23"/>
      <c r="I54" s="23"/>
      <c r="J54" s="23"/>
    </row>
    <row r="55" spans="1:10" ht="13.2" x14ac:dyDescent="0.25">
      <c r="A55" s="43"/>
      <c r="B55" s="22"/>
      <c r="C55" s="23"/>
      <c r="D55" s="39" t="s">
        <v>76</v>
      </c>
      <c r="E55" s="39"/>
      <c r="F55" s="23"/>
      <c r="G55" s="23"/>
      <c r="H55" s="23"/>
      <c r="I55" s="23"/>
      <c r="J55" s="23"/>
    </row>
    <row r="56" spans="1:10" ht="26.4" x14ac:dyDescent="0.25">
      <c r="A56" s="43"/>
      <c r="B56" s="22"/>
      <c r="C56" s="23"/>
      <c r="D56" s="39" t="s">
        <v>77</v>
      </c>
      <c r="E56" s="39"/>
      <c r="F56" s="23"/>
      <c r="G56" s="23"/>
      <c r="H56" s="23"/>
      <c r="I56" s="23"/>
      <c r="J56" s="23"/>
    </row>
    <row r="57" spans="1:10" ht="26.4" x14ac:dyDescent="0.25">
      <c r="A57" s="43"/>
      <c r="B57" s="45"/>
      <c r="C57" s="46"/>
      <c r="D57" s="44" t="s">
        <v>78</v>
      </c>
      <c r="E57" s="44" t="s">
        <v>79</v>
      </c>
      <c r="F57" s="46"/>
      <c r="G57" s="44"/>
      <c r="H57" s="44"/>
      <c r="I57" s="46"/>
      <c r="J57" s="46"/>
    </row>
    <row r="58" spans="1:10" ht="25.5" customHeight="1" x14ac:dyDescent="0.25">
      <c r="A58" s="43"/>
      <c r="B58" s="22" t="str">
        <f>IF(C58="","",SUBTOTAL(3,$C$12:C58))</f>
        <v/>
      </c>
      <c r="C58" s="23"/>
      <c r="D58" s="39"/>
      <c r="E58" s="44"/>
      <c r="F58" s="23"/>
      <c r="G58" s="23"/>
      <c r="H58" s="23"/>
      <c r="I58" s="23"/>
      <c r="J58" s="23"/>
    </row>
    <row r="59" spans="1:10" ht="13.2" x14ac:dyDescent="0.25">
      <c r="A59" s="43"/>
      <c r="B59" s="22"/>
      <c r="C59" s="23"/>
      <c r="D59" s="39"/>
      <c r="E59" s="39"/>
      <c r="F59" s="23"/>
      <c r="G59" s="23"/>
      <c r="H59" s="23"/>
      <c r="I59" s="23"/>
      <c r="J59" s="23"/>
    </row>
    <row r="60" spans="1:10" ht="39.6" x14ac:dyDescent="0.25">
      <c r="A60" s="49"/>
      <c r="B60" s="50">
        <f>IF(C60="","",SUBTOTAL(3,$C$12:C60))</f>
        <v>6</v>
      </c>
      <c r="C60" s="23" t="s">
        <v>80</v>
      </c>
      <c r="D60" s="40"/>
      <c r="E60" s="40"/>
      <c r="F60" s="23">
        <v>1</v>
      </c>
      <c r="G60" s="39" t="s">
        <v>30</v>
      </c>
      <c r="H60" s="51"/>
      <c r="I60" s="23"/>
      <c r="J60" s="23"/>
    </row>
    <row r="61" spans="1:10" ht="52.8" x14ac:dyDescent="0.25">
      <c r="A61" s="43"/>
      <c r="B61" s="22"/>
      <c r="C61" s="23"/>
      <c r="D61" s="23" t="s">
        <v>81</v>
      </c>
      <c r="E61" s="23"/>
      <c r="F61" s="23"/>
      <c r="G61" s="23"/>
      <c r="H61" s="23"/>
      <c r="I61" s="23"/>
      <c r="J61" s="23"/>
    </row>
    <row r="62" spans="1:10" ht="13.2" x14ac:dyDescent="0.25">
      <c r="A62" s="43"/>
      <c r="B62" s="22"/>
      <c r="C62" s="23"/>
      <c r="D62" s="39" t="s">
        <v>75</v>
      </c>
      <c r="E62" s="39"/>
      <c r="F62" s="23"/>
      <c r="G62" s="23"/>
      <c r="H62" s="23"/>
      <c r="I62" s="23"/>
      <c r="J62" s="23"/>
    </row>
    <row r="63" spans="1:10" ht="13.2" x14ac:dyDescent="0.25">
      <c r="A63" s="43"/>
      <c r="B63" s="22"/>
      <c r="C63" s="23"/>
      <c r="D63" s="39" t="s">
        <v>82</v>
      </c>
      <c r="E63" s="39"/>
      <c r="F63" s="23"/>
      <c r="G63" s="23"/>
      <c r="H63" s="23"/>
      <c r="I63" s="23"/>
      <c r="J63" s="23"/>
    </row>
    <row r="64" spans="1:10" ht="13.2" x14ac:dyDescent="0.25">
      <c r="A64" s="43"/>
      <c r="B64" s="22"/>
      <c r="C64" s="23"/>
      <c r="D64" s="39" t="s">
        <v>83</v>
      </c>
      <c r="E64" s="39"/>
      <c r="F64" s="23"/>
      <c r="G64" s="23"/>
      <c r="H64" s="23"/>
      <c r="I64" s="23"/>
      <c r="J64" s="23"/>
    </row>
    <row r="65" spans="1:10" ht="26.4" x14ac:dyDescent="0.25">
      <c r="A65" s="43"/>
      <c r="B65" s="45"/>
      <c r="C65" s="23"/>
      <c r="D65" s="39" t="s">
        <v>77</v>
      </c>
      <c r="E65" s="39"/>
      <c r="F65" s="46"/>
      <c r="G65" s="46"/>
      <c r="H65" s="46"/>
      <c r="I65" s="46"/>
      <c r="J65" s="46"/>
    </row>
    <row r="66" spans="1:10" ht="26.4" x14ac:dyDescent="0.25">
      <c r="A66" s="43"/>
      <c r="B66" s="45"/>
      <c r="C66" s="46"/>
      <c r="D66" s="44" t="s">
        <v>78</v>
      </c>
      <c r="E66" s="44" t="s">
        <v>84</v>
      </c>
      <c r="F66" s="46"/>
      <c r="G66" s="44"/>
      <c r="H66" s="44"/>
      <c r="I66" s="46"/>
      <c r="J66" s="46"/>
    </row>
    <row r="67" spans="1:10" ht="13.2" x14ac:dyDescent="0.25">
      <c r="A67" s="49"/>
      <c r="B67" s="22"/>
      <c r="C67" s="23"/>
      <c r="D67" s="40"/>
      <c r="E67" s="40"/>
      <c r="F67" s="23"/>
      <c r="G67" s="39"/>
      <c r="H67" s="23"/>
      <c r="I67" s="23"/>
      <c r="J67" s="23"/>
    </row>
    <row r="68" spans="1:10" ht="13.2" x14ac:dyDescent="0.25">
      <c r="A68" s="43"/>
      <c r="B68" s="22"/>
      <c r="C68" s="23"/>
      <c r="D68" s="23"/>
      <c r="E68" s="23"/>
      <c r="F68" s="23"/>
      <c r="G68" s="23"/>
      <c r="H68" s="23"/>
      <c r="I68" s="23"/>
      <c r="J68" s="23"/>
    </row>
    <row r="69" spans="1:10" ht="13.2" x14ac:dyDescent="0.25">
      <c r="A69" s="43"/>
      <c r="B69" s="22"/>
      <c r="C69" s="23"/>
      <c r="D69" s="39"/>
      <c r="E69" s="39"/>
      <c r="F69" s="23"/>
      <c r="G69" s="23"/>
      <c r="H69" s="23"/>
      <c r="I69" s="23"/>
      <c r="J69" s="23"/>
    </row>
    <row r="70" spans="1:10" ht="13.2" x14ac:dyDescent="0.25">
      <c r="A70" s="43"/>
      <c r="B70" s="22"/>
      <c r="C70" s="23"/>
      <c r="D70" s="39"/>
      <c r="E70" s="39"/>
      <c r="F70" s="23"/>
      <c r="G70" s="23"/>
      <c r="H70" s="23"/>
      <c r="I70" s="23"/>
      <c r="J70" s="23"/>
    </row>
    <row r="71" spans="1:10" ht="42" customHeight="1" x14ac:dyDescent="0.25">
      <c r="A71" s="43"/>
      <c r="B71" s="22"/>
      <c r="C71" s="23"/>
      <c r="D71" s="39"/>
      <c r="E71" s="39"/>
      <c r="F71" s="23"/>
      <c r="G71" s="23"/>
      <c r="H71" s="23"/>
      <c r="I71" s="23"/>
      <c r="J71" s="23"/>
    </row>
    <row r="72" spans="1:10" ht="13.2" x14ac:dyDescent="0.25">
      <c r="A72" s="43"/>
      <c r="B72" s="45"/>
      <c r="C72" s="46"/>
      <c r="D72" s="44"/>
      <c r="E72" s="44"/>
      <c r="F72" s="46"/>
      <c r="G72" s="46"/>
      <c r="H72" s="46"/>
      <c r="I72" s="46"/>
      <c r="J72" s="46"/>
    </row>
    <row r="73" spans="1:10" ht="13.2" x14ac:dyDescent="0.25">
      <c r="A73" s="43"/>
      <c r="B73" s="45"/>
      <c r="C73" s="46"/>
      <c r="D73" s="44"/>
      <c r="E73" s="44"/>
      <c r="F73" s="46"/>
      <c r="G73" s="44"/>
      <c r="H73" s="44"/>
      <c r="I73" s="46"/>
      <c r="J73" s="46"/>
    </row>
    <row r="74" spans="1:10" ht="13.2" x14ac:dyDescent="0.25">
      <c r="A74" s="43"/>
      <c r="B74" s="22"/>
      <c r="C74" s="23"/>
      <c r="D74" s="39"/>
      <c r="E74" s="39"/>
      <c r="F74" s="23"/>
      <c r="G74" s="23"/>
      <c r="H74" s="23"/>
      <c r="I74" s="23"/>
      <c r="J74" s="23"/>
    </row>
    <row r="75" spans="1:10" ht="13.2" x14ac:dyDescent="0.25">
      <c r="A75" s="43"/>
      <c r="B75" s="22"/>
      <c r="C75" s="23"/>
      <c r="D75" s="39"/>
      <c r="E75" s="39"/>
      <c r="F75" s="23"/>
      <c r="G75" s="23"/>
      <c r="H75" s="23"/>
      <c r="I75" s="23"/>
      <c r="J75" s="23"/>
    </row>
    <row r="76" spans="1:10" ht="13.2" x14ac:dyDescent="0.25">
      <c r="A76" s="43"/>
      <c r="B76" s="22"/>
      <c r="C76" s="23"/>
      <c r="D76" s="39"/>
      <c r="E76" s="39"/>
      <c r="F76" s="23"/>
      <c r="G76" s="23"/>
      <c r="H76" s="23"/>
      <c r="I76" s="23"/>
      <c r="J76" s="23"/>
    </row>
    <row r="77" spans="1:10" ht="13.2" x14ac:dyDescent="0.25">
      <c r="A77" s="52"/>
      <c r="B77" s="22"/>
      <c r="C77" s="23"/>
      <c r="D77" s="40"/>
      <c r="E77" s="40"/>
      <c r="F77" s="23"/>
      <c r="G77" s="39"/>
      <c r="H77" s="23"/>
      <c r="I77" s="23"/>
      <c r="J77" s="23"/>
    </row>
    <row r="78" spans="1:10" ht="13.2" x14ac:dyDescent="0.25">
      <c r="A78" s="53"/>
      <c r="B78" s="22"/>
      <c r="C78" s="23"/>
      <c r="D78" s="23"/>
      <c r="E78" s="23"/>
      <c r="F78" s="23"/>
      <c r="G78" s="23"/>
      <c r="H78" s="23"/>
      <c r="I78" s="23"/>
      <c r="J78" s="23"/>
    </row>
    <row r="79" spans="1:10" ht="13.2" x14ac:dyDescent="0.25">
      <c r="A79" s="53"/>
      <c r="B79" s="22"/>
      <c r="C79" s="23"/>
      <c r="D79" s="39"/>
      <c r="E79" s="39"/>
      <c r="F79" s="23"/>
      <c r="G79" s="23"/>
      <c r="H79" s="23"/>
      <c r="I79" s="23"/>
      <c r="J79" s="23"/>
    </row>
    <row r="80" spans="1:10" ht="13.2" x14ac:dyDescent="0.25">
      <c r="A80" s="43"/>
      <c r="B80" s="22"/>
      <c r="C80" s="23"/>
      <c r="D80" s="39"/>
      <c r="E80" s="39"/>
      <c r="F80" s="23"/>
      <c r="G80" s="23"/>
      <c r="H80" s="23"/>
      <c r="I80" s="23"/>
      <c r="J80" s="23"/>
    </row>
    <row r="81" spans="1:10" ht="13.2" x14ac:dyDescent="0.25">
      <c r="A81" s="43"/>
      <c r="B81" s="22"/>
      <c r="C81" s="23"/>
      <c r="D81" s="39"/>
      <c r="E81" s="39"/>
      <c r="F81" s="23"/>
      <c r="G81" s="23"/>
      <c r="H81" s="23"/>
      <c r="I81" s="23"/>
      <c r="J81" s="23"/>
    </row>
    <row r="82" spans="1:10" ht="13.2" x14ac:dyDescent="0.25">
      <c r="A82" s="43"/>
      <c r="B82" s="45"/>
      <c r="C82" s="46"/>
      <c r="D82" s="44"/>
      <c r="E82" s="44"/>
      <c r="F82" s="46"/>
      <c r="G82" s="46"/>
      <c r="H82" s="46"/>
      <c r="I82" s="46"/>
      <c r="J82" s="46"/>
    </row>
    <row r="83" spans="1:10" ht="13.2" x14ac:dyDescent="0.25">
      <c r="A83" s="43"/>
      <c r="B83" s="45"/>
      <c r="C83" s="46"/>
      <c r="D83" s="44"/>
      <c r="E83" s="44"/>
      <c r="F83" s="46"/>
      <c r="G83" s="44"/>
      <c r="H83" s="44"/>
      <c r="I83" s="46"/>
      <c r="J83" s="46"/>
    </row>
    <row r="84" spans="1:10" ht="13.2" x14ac:dyDescent="0.25">
      <c r="A84" s="52"/>
      <c r="B84" s="22"/>
      <c r="C84" s="23"/>
      <c r="D84" s="40"/>
      <c r="E84" s="40"/>
      <c r="F84" s="23"/>
      <c r="G84" s="39"/>
      <c r="H84" s="23"/>
      <c r="I84" s="23"/>
      <c r="J84" s="23"/>
    </row>
    <row r="85" spans="1:10" ht="13.2" x14ac:dyDescent="0.25">
      <c r="A85" s="53"/>
      <c r="B85" s="22"/>
      <c r="C85" s="23"/>
      <c r="D85" s="23"/>
      <c r="E85" s="23"/>
      <c r="F85" s="23"/>
      <c r="G85" s="23"/>
      <c r="H85" s="23"/>
      <c r="I85" s="23"/>
      <c r="J85" s="23"/>
    </row>
    <row r="86" spans="1:10" ht="13.2" x14ac:dyDescent="0.25">
      <c r="A86" s="53"/>
      <c r="B86" s="22"/>
      <c r="C86" s="23"/>
      <c r="D86" s="39"/>
      <c r="E86" s="39"/>
      <c r="F86" s="23"/>
      <c r="G86" s="23"/>
      <c r="H86" s="23"/>
      <c r="I86" s="23"/>
      <c r="J86" s="23"/>
    </row>
    <row r="87" spans="1:10" ht="13.2" x14ac:dyDescent="0.25">
      <c r="A87" s="43"/>
      <c r="B87" s="22"/>
      <c r="C87" s="23"/>
      <c r="D87" s="39"/>
      <c r="E87" s="39"/>
      <c r="F87" s="23"/>
      <c r="G87" s="23"/>
      <c r="H87" s="23"/>
      <c r="I87" s="23"/>
      <c r="J87" s="23"/>
    </row>
    <row r="88" spans="1:10" ht="13.2" x14ac:dyDescent="0.25">
      <c r="A88" s="43"/>
      <c r="B88" s="22"/>
      <c r="C88" s="23"/>
      <c r="D88" s="39"/>
      <c r="E88" s="39"/>
      <c r="F88" s="23"/>
      <c r="G88" s="23"/>
      <c r="H88" s="23"/>
      <c r="I88" s="23"/>
      <c r="J88" s="23"/>
    </row>
    <row r="89" spans="1:10" ht="13.2" x14ac:dyDescent="0.25">
      <c r="A89" s="43"/>
      <c r="B89" s="45"/>
      <c r="C89" s="46"/>
      <c r="D89" s="44"/>
      <c r="E89" s="44"/>
      <c r="F89" s="46"/>
      <c r="G89" s="46"/>
      <c r="H89" s="46"/>
      <c r="I89" s="46"/>
      <c r="J89" s="46"/>
    </row>
    <row r="90" spans="1:10" ht="13.2" x14ac:dyDescent="0.25">
      <c r="A90" s="43"/>
      <c r="B90" s="45"/>
      <c r="C90" s="46"/>
      <c r="D90" s="44"/>
      <c r="E90" s="44"/>
      <c r="F90" s="46"/>
      <c r="G90" s="44"/>
      <c r="H90" s="44"/>
      <c r="I90" s="46"/>
      <c r="J90" s="46"/>
    </row>
    <row r="91" spans="1:10" ht="13.2" x14ac:dyDescent="0.25">
      <c r="A91" s="47"/>
      <c r="B91" s="22"/>
      <c r="C91" s="23"/>
      <c r="D91" s="39"/>
      <c r="E91" s="39"/>
      <c r="F91" s="23"/>
      <c r="G91" s="23"/>
      <c r="H91" s="23"/>
      <c r="I91" s="23"/>
      <c r="J91" s="39"/>
    </row>
    <row r="92" spans="1:10" ht="13.2" x14ac:dyDescent="0.25">
      <c r="A92" s="52"/>
      <c r="B92" s="22"/>
      <c r="C92" s="23"/>
      <c r="D92" s="40"/>
      <c r="E92" s="40"/>
      <c r="F92" s="23"/>
      <c r="G92" s="39"/>
      <c r="H92" s="23"/>
      <c r="I92" s="23"/>
      <c r="J92" s="23"/>
    </row>
    <row r="93" spans="1:10" ht="13.2" x14ac:dyDescent="0.25">
      <c r="A93" s="53"/>
      <c r="B93" s="22"/>
      <c r="C93" s="23"/>
      <c r="D93" s="23"/>
      <c r="E93" s="23"/>
      <c r="F93" s="23"/>
      <c r="G93" s="23"/>
      <c r="H93" s="23"/>
      <c r="I93" s="23"/>
      <c r="J93" s="23"/>
    </row>
    <row r="94" spans="1:10" ht="13.2" x14ac:dyDescent="0.25">
      <c r="A94" s="53"/>
      <c r="B94" s="22"/>
      <c r="C94" s="23"/>
      <c r="D94" s="39"/>
      <c r="E94" s="39"/>
      <c r="F94" s="23"/>
      <c r="G94" s="23"/>
      <c r="H94" s="23"/>
      <c r="I94" s="23"/>
      <c r="J94" s="23"/>
    </row>
    <row r="95" spans="1:10" ht="13.2" x14ac:dyDescent="0.25">
      <c r="A95" s="43"/>
      <c r="B95" s="22"/>
      <c r="C95" s="23"/>
      <c r="D95" s="39"/>
      <c r="E95" s="39"/>
      <c r="F95" s="23"/>
      <c r="G95" s="23"/>
      <c r="H95" s="23"/>
      <c r="I95" s="23"/>
      <c r="J95" s="23"/>
    </row>
    <row r="96" spans="1:10" ht="13.2" x14ac:dyDescent="0.25">
      <c r="A96" s="43"/>
      <c r="B96" s="22"/>
      <c r="C96" s="23"/>
      <c r="D96" s="39"/>
      <c r="E96" s="39"/>
      <c r="F96" s="23"/>
      <c r="G96" s="23"/>
      <c r="H96" s="23"/>
      <c r="I96" s="23"/>
      <c r="J96" s="23"/>
    </row>
    <row r="97" spans="1:10" ht="13.2" x14ac:dyDescent="0.25">
      <c r="A97" s="43"/>
      <c r="B97" s="45"/>
      <c r="C97" s="46"/>
      <c r="D97" s="44"/>
      <c r="E97" s="44"/>
      <c r="F97" s="46"/>
      <c r="G97" s="46"/>
      <c r="H97" s="46"/>
      <c r="I97" s="46"/>
      <c r="J97" s="46"/>
    </row>
    <row r="98" spans="1:10" ht="13.2" x14ac:dyDescent="0.25">
      <c r="A98" s="43"/>
      <c r="B98" s="45"/>
      <c r="C98" s="46"/>
      <c r="D98" s="44"/>
      <c r="E98" s="44"/>
      <c r="F98" s="46"/>
      <c r="G98" s="44"/>
      <c r="H98" s="44"/>
      <c r="I98" s="46"/>
      <c r="J98" s="46"/>
    </row>
    <row r="99" spans="1:10" ht="13.2" x14ac:dyDescent="0.25">
      <c r="A99" s="52"/>
      <c r="B99" s="22"/>
      <c r="C99" s="23"/>
      <c r="D99" s="40"/>
      <c r="E99" s="40"/>
      <c r="F99" s="23"/>
      <c r="G99" s="39"/>
      <c r="H99" s="23"/>
      <c r="I99" s="23"/>
      <c r="J99" s="23"/>
    </row>
    <row r="100" spans="1:10" ht="13.2" x14ac:dyDescent="0.25">
      <c r="A100" s="53"/>
      <c r="B100" s="22"/>
      <c r="C100" s="23"/>
      <c r="D100" s="23"/>
      <c r="E100" s="23"/>
      <c r="F100" s="23"/>
      <c r="G100" s="23"/>
      <c r="H100" s="23"/>
      <c r="I100" s="23"/>
      <c r="J100" s="23"/>
    </row>
    <row r="101" spans="1:10" ht="13.2" x14ac:dyDescent="0.25">
      <c r="A101" s="53"/>
      <c r="B101" s="22"/>
      <c r="C101" s="23"/>
      <c r="D101" s="39"/>
      <c r="E101" s="39"/>
      <c r="F101" s="23"/>
      <c r="G101" s="23"/>
      <c r="H101" s="23"/>
      <c r="I101" s="23"/>
      <c r="J101" s="23"/>
    </row>
    <row r="102" spans="1:10" ht="13.2" x14ac:dyDescent="0.25">
      <c r="A102" s="43"/>
      <c r="B102" s="22"/>
      <c r="C102" s="23"/>
      <c r="D102" s="39"/>
      <c r="E102" s="39"/>
      <c r="F102" s="23"/>
      <c r="G102" s="23"/>
      <c r="H102" s="23"/>
      <c r="I102" s="23"/>
      <c r="J102" s="23"/>
    </row>
    <row r="103" spans="1:10" ht="13.2" x14ac:dyDescent="0.25">
      <c r="A103" s="43"/>
      <c r="B103" s="22"/>
      <c r="C103" s="23"/>
      <c r="D103" s="39"/>
      <c r="E103" s="39"/>
      <c r="F103" s="23"/>
      <c r="G103" s="23"/>
      <c r="H103" s="23"/>
      <c r="I103" s="23"/>
      <c r="J103" s="23"/>
    </row>
    <row r="104" spans="1:10" ht="13.2" x14ac:dyDescent="0.25">
      <c r="A104" s="43"/>
      <c r="B104" s="45"/>
      <c r="C104" s="46"/>
      <c r="D104" s="44"/>
      <c r="E104" s="44"/>
      <c r="F104" s="46"/>
      <c r="G104" s="46"/>
      <c r="H104" s="46"/>
      <c r="I104" s="46"/>
      <c r="J104" s="46"/>
    </row>
    <row r="105" spans="1:10" ht="13.2" x14ac:dyDescent="0.25">
      <c r="A105" s="43"/>
      <c r="B105" s="45"/>
      <c r="C105" s="46"/>
      <c r="D105" s="44"/>
      <c r="E105" s="44"/>
      <c r="F105" s="46"/>
      <c r="G105" s="44"/>
      <c r="H105" s="44"/>
      <c r="I105" s="46"/>
      <c r="J105" s="46"/>
    </row>
    <row r="106" spans="1:10" ht="13.2" x14ac:dyDescent="0.25">
      <c r="A106" s="52"/>
      <c r="B106" s="22"/>
      <c r="C106" s="23"/>
      <c r="D106" s="40"/>
      <c r="E106" s="40"/>
      <c r="F106" s="23"/>
      <c r="G106" s="39"/>
      <c r="H106" s="23"/>
      <c r="I106" s="23"/>
      <c r="J106" s="23"/>
    </row>
    <row r="107" spans="1:10" ht="13.2" x14ac:dyDescent="0.25">
      <c r="A107" s="53"/>
      <c r="B107" s="22"/>
      <c r="C107" s="23"/>
      <c r="D107" s="23"/>
      <c r="E107" s="23"/>
      <c r="F107" s="23"/>
      <c r="G107" s="23"/>
      <c r="H107" s="23"/>
      <c r="I107" s="23"/>
      <c r="J107" s="23"/>
    </row>
    <row r="108" spans="1:10" ht="13.2" x14ac:dyDescent="0.25">
      <c r="A108" s="53"/>
      <c r="B108" s="22"/>
      <c r="C108" s="23"/>
      <c r="D108" s="39"/>
      <c r="E108" s="39"/>
      <c r="F108" s="23"/>
      <c r="G108" s="23"/>
      <c r="H108" s="23"/>
      <c r="I108" s="23"/>
      <c r="J108" s="23"/>
    </row>
    <row r="109" spans="1:10" ht="13.2" x14ac:dyDescent="0.25">
      <c r="A109" s="43"/>
      <c r="B109" s="22"/>
      <c r="C109" s="23"/>
      <c r="D109" s="39"/>
      <c r="E109" s="39"/>
      <c r="F109" s="23"/>
      <c r="G109" s="23"/>
      <c r="H109" s="23"/>
      <c r="I109" s="23"/>
      <c r="J109" s="23"/>
    </row>
    <row r="110" spans="1:10" ht="13.2" x14ac:dyDescent="0.25">
      <c r="A110" s="43"/>
      <c r="B110" s="22"/>
      <c r="C110" s="23"/>
      <c r="D110" s="39"/>
      <c r="E110" s="39"/>
      <c r="F110" s="23"/>
      <c r="G110" s="23"/>
      <c r="H110" s="23"/>
      <c r="I110" s="23"/>
      <c r="J110" s="23"/>
    </row>
    <row r="111" spans="1:10" ht="13.2" x14ac:dyDescent="0.25">
      <c r="A111" s="43"/>
      <c r="B111" s="45"/>
      <c r="C111" s="46"/>
      <c r="D111" s="44"/>
      <c r="E111" s="44"/>
      <c r="F111" s="46"/>
      <c r="G111" s="46"/>
      <c r="H111" s="46"/>
      <c r="I111" s="46"/>
      <c r="J111" s="46"/>
    </row>
    <row r="112" spans="1:10" ht="13.2" x14ac:dyDescent="0.25">
      <c r="A112" s="52"/>
      <c r="B112" s="22"/>
      <c r="C112" s="23"/>
      <c r="D112" s="40"/>
      <c r="E112" s="40"/>
      <c r="F112" s="23"/>
      <c r="G112" s="39"/>
      <c r="H112" s="23"/>
      <c r="I112" s="23"/>
      <c r="J112" s="23"/>
    </row>
    <row r="113" spans="1:10" ht="13.2" x14ac:dyDescent="0.25">
      <c r="A113" s="53"/>
      <c r="B113" s="22"/>
      <c r="C113" s="23"/>
      <c r="D113" s="23"/>
      <c r="E113" s="23"/>
      <c r="F113" s="23"/>
      <c r="G113" s="23"/>
      <c r="H113" s="23"/>
      <c r="I113" s="23"/>
      <c r="J113" s="23"/>
    </row>
    <row r="114" spans="1:10" ht="13.2" x14ac:dyDescent="0.25">
      <c r="A114" s="53"/>
      <c r="B114" s="22"/>
      <c r="C114" s="23"/>
      <c r="D114" s="39"/>
      <c r="E114" s="39"/>
      <c r="F114" s="23"/>
      <c r="G114" s="23"/>
      <c r="H114" s="23"/>
      <c r="I114" s="23"/>
      <c r="J114" s="23"/>
    </row>
    <row r="115" spans="1:10" ht="13.2" x14ac:dyDescent="0.25">
      <c r="A115" s="43"/>
      <c r="B115" s="22"/>
      <c r="C115" s="23"/>
      <c r="D115" s="39"/>
      <c r="E115" s="39"/>
      <c r="F115" s="23"/>
      <c r="G115" s="23"/>
      <c r="H115" s="23"/>
      <c r="I115" s="23"/>
      <c r="J115" s="23"/>
    </row>
    <row r="116" spans="1:10" ht="13.2" x14ac:dyDescent="0.25">
      <c r="A116" s="43"/>
      <c r="B116" s="22"/>
      <c r="C116" s="23"/>
      <c r="D116" s="39"/>
      <c r="E116" s="39"/>
      <c r="F116" s="23"/>
      <c r="G116" s="23"/>
      <c r="H116" s="23"/>
      <c r="I116" s="23"/>
      <c r="J116" s="23"/>
    </row>
    <row r="117" spans="1:10" ht="13.2" x14ac:dyDescent="0.25">
      <c r="A117" s="43"/>
      <c r="B117" s="45"/>
      <c r="C117" s="46"/>
      <c r="D117" s="44"/>
      <c r="E117" s="44"/>
      <c r="F117" s="46"/>
      <c r="G117" s="46"/>
      <c r="H117" s="46"/>
      <c r="I117" s="46"/>
      <c r="J117" s="46"/>
    </row>
    <row r="118" spans="1:10" ht="13.2" x14ac:dyDescent="0.25">
      <c r="A118" s="47"/>
      <c r="B118" s="22"/>
      <c r="C118" s="23"/>
      <c r="D118" s="39"/>
      <c r="E118" s="39"/>
      <c r="F118" s="23"/>
      <c r="G118" s="23"/>
      <c r="H118" s="23"/>
      <c r="I118" s="23"/>
      <c r="J118" s="39"/>
    </row>
    <row r="119" spans="1:10" ht="13.2" customHeight="1" x14ac:dyDescent="0.25">
      <c r="A119" s="43"/>
      <c r="B119" s="22"/>
      <c r="C119" s="23"/>
      <c r="D119" s="39"/>
      <c r="E119" s="39"/>
      <c r="F119" s="23"/>
      <c r="G119" s="23"/>
      <c r="H119" s="23"/>
      <c r="I119" s="23"/>
      <c r="J119" s="23"/>
    </row>
    <row r="120" spans="1:10" ht="13.2" x14ac:dyDescent="0.25">
      <c r="A120" s="52"/>
      <c r="B120" s="22"/>
      <c r="C120" s="23"/>
      <c r="D120" s="40"/>
      <c r="E120" s="40"/>
      <c r="F120" s="23"/>
      <c r="G120" s="39"/>
      <c r="H120" s="23"/>
      <c r="I120" s="23"/>
      <c r="J120" s="23"/>
    </row>
    <row r="121" spans="1:10" ht="13.2" x14ac:dyDescent="0.25">
      <c r="A121" s="53"/>
      <c r="B121" s="22"/>
      <c r="C121" s="23"/>
      <c r="D121" s="23"/>
      <c r="E121" s="23"/>
      <c r="F121" s="23"/>
      <c r="G121" s="23"/>
      <c r="H121" s="23"/>
      <c r="I121" s="23"/>
      <c r="J121" s="23"/>
    </row>
    <row r="122" spans="1:10" ht="13.2" x14ac:dyDescent="0.25">
      <c r="A122" s="53"/>
      <c r="B122" s="22"/>
      <c r="C122" s="23"/>
      <c r="D122" s="39"/>
      <c r="E122" s="39"/>
      <c r="F122" s="23"/>
      <c r="G122" s="23"/>
      <c r="H122" s="23"/>
      <c r="I122" s="23"/>
      <c r="J122" s="23"/>
    </row>
    <row r="123" spans="1:10" ht="13.2" x14ac:dyDescent="0.25">
      <c r="A123" s="43"/>
      <c r="B123" s="22"/>
      <c r="C123" s="23"/>
      <c r="D123" s="39"/>
      <c r="E123" s="39"/>
      <c r="F123" s="23"/>
      <c r="G123" s="23"/>
      <c r="H123" s="23"/>
      <c r="I123" s="23"/>
      <c r="J123" s="23"/>
    </row>
    <row r="124" spans="1:10" ht="13.2" x14ac:dyDescent="0.25">
      <c r="A124" s="43"/>
      <c r="B124" s="22"/>
      <c r="C124" s="23"/>
      <c r="D124" s="39"/>
      <c r="E124" s="39"/>
      <c r="F124" s="23"/>
      <c r="G124" s="23"/>
      <c r="H124" s="23"/>
      <c r="I124" s="23"/>
      <c r="J124" s="23"/>
    </row>
    <row r="125" spans="1:10" ht="13.2" x14ac:dyDescent="0.25">
      <c r="A125" s="43"/>
      <c r="B125" s="22"/>
      <c r="C125" s="23"/>
      <c r="D125" s="39"/>
      <c r="E125" s="39"/>
      <c r="F125" s="23"/>
      <c r="G125" s="23"/>
      <c r="H125" s="23"/>
      <c r="I125" s="23"/>
      <c r="J125" s="23"/>
    </row>
    <row r="126" spans="1:10" ht="13.2" x14ac:dyDescent="0.25">
      <c r="A126" s="43"/>
      <c r="B126" s="45"/>
      <c r="C126" s="46"/>
      <c r="D126" s="44"/>
      <c r="E126" s="39"/>
      <c r="F126" s="46"/>
      <c r="G126" s="46"/>
      <c r="H126" s="46"/>
      <c r="I126" s="46"/>
      <c r="J126" s="46"/>
    </row>
    <row r="127" spans="1:10" ht="13.2" x14ac:dyDescent="0.25">
      <c r="A127" s="43"/>
      <c r="B127" s="22"/>
      <c r="C127" s="23"/>
      <c r="D127" s="39"/>
      <c r="E127" s="39"/>
      <c r="F127" s="23"/>
      <c r="G127" s="23"/>
      <c r="H127" s="23"/>
      <c r="I127" s="23"/>
      <c r="J127" s="23"/>
    </row>
    <row r="128" spans="1:10" ht="13.2" x14ac:dyDescent="0.25">
      <c r="A128" s="43"/>
      <c r="B128" s="22"/>
      <c r="C128" s="23"/>
      <c r="D128" s="39"/>
      <c r="E128" s="39"/>
      <c r="F128" s="23"/>
      <c r="G128" s="23"/>
      <c r="H128" s="23"/>
      <c r="I128" s="23"/>
      <c r="J128" s="23"/>
    </row>
    <row r="129" spans="1:10" ht="13.2" x14ac:dyDescent="0.25">
      <c r="A129" s="43"/>
      <c r="B129" s="22"/>
      <c r="C129" s="23"/>
      <c r="D129" s="39"/>
      <c r="E129" s="39"/>
      <c r="F129" s="23"/>
      <c r="G129" s="23"/>
      <c r="H129" s="23"/>
      <c r="I129" s="23"/>
      <c r="J129" s="23"/>
    </row>
    <row r="130" spans="1:10" ht="13.2" x14ac:dyDescent="0.25">
      <c r="A130" s="43"/>
      <c r="B130" s="22"/>
      <c r="C130" s="23"/>
      <c r="D130" s="39"/>
      <c r="E130" s="39"/>
      <c r="F130" s="23"/>
      <c r="G130" s="23"/>
      <c r="H130" s="23"/>
      <c r="I130" s="23"/>
      <c r="J130" s="23"/>
    </row>
    <row r="131" spans="1:10" ht="13.2" x14ac:dyDescent="0.25">
      <c r="A131" s="52"/>
      <c r="B131" s="22"/>
      <c r="C131" s="23"/>
      <c r="D131" s="40"/>
      <c r="E131" s="40"/>
      <c r="F131" s="23"/>
      <c r="G131" s="39"/>
      <c r="H131" s="23"/>
      <c r="I131" s="23"/>
      <c r="J131" s="23"/>
    </row>
    <row r="132" spans="1:10" ht="13.2" x14ac:dyDescent="0.25">
      <c r="A132" s="53"/>
      <c r="B132" s="22"/>
      <c r="C132" s="23"/>
      <c r="D132" s="23"/>
      <c r="E132" s="23"/>
      <c r="F132" s="23"/>
      <c r="G132" s="23"/>
      <c r="H132" s="23"/>
      <c r="I132" s="23"/>
      <c r="J132" s="23"/>
    </row>
    <row r="133" spans="1:10" ht="13.2" x14ac:dyDescent="0.25">
      <c r="A133" s="53"/>
      <c r="B133" s="22"/>
      <c r="C133" s="23"/>
      <c r="D133" s="39"/>
      <c r="E133" s="39"/>
      <c r="F133" s="23"/>
      <c r="G133" s="23"/>
      <c r="H133" s="23"/>
      <c r="I133" s="23"/>
      <c r="J133" s="23"/>
    </row>
    <row r="134" spans="1:10" ht="13.2" x14ac:dyDescent="0.25">
      <c r="A134" s="43"/>
      <c r="B134" s="22"/>
      <c r="C134" s="23"/>
      <c r="D134" s="39"/>
      <c r="E134" s="39"/>
      <c r="F134" s="23"/>
      <c r="G134" s="23"/>
      <c r="H134" s="23"/>
      <c r="I134" s="23"/>
      <c r="J134" s="23"/>
    </row>
    <row r="135" spans="1:10" ht="13.2" x14ac:dyDescent="0.25">
      <c r="A135" s="43"/>
      <c r="B135" s="22"/>
      <c r="C135" s="23"/>
      <c r="D135" s="39"/>
      <c r="E135" s="39"/>
      <c r="F135" s="23"/>
      <c r="G135" s="23"/>
      <c r="H135" s="23"/>
      <c r="I135" s="23"/>
      <c r="J135" s="23"/>
    </row>
    <row r="136" spans="1:10" ht="13.2" x14ac:dyDescent="0.25">
      <c r="A136" s="43"/>
      <c r="B136" s="22"/>
      <c r="C136" s="23"/>
      <c r="D136" s="39"/>
      <c r="E136" s="39"/>
      <c r="F136" s="23"/>
      <c r="G136" s="23"/>
      <c r="H136" s="23"/>
      <c r="I136" s="23"/>
      <c r="J136" s="23"/>
    </row>
    <row r="137" spans="1:10" ht="13.2" x14ac:dyDescent="0.25">
      <c r="A137" s="42"/>
      <c r="B137" s="22"/>
      <c r="C137" s="23"/>
      <c r="D137" s="39"/>
      <c r="E137" s="39"/>
      <c r="F137" s="23"/>
      <c r="G137" s="23"/>
      <c r="H137" s="23"/>
      <c r="I137" s="23"/>
      <c r="J137" s="39"/>
    </row>
    <row r="138" spans="1:10" ht="13.2" x14ac:dyDescent="0.25">
      <c r="A138" s="42"/>
      <c r="B138" s="22"/>
      <c r="C138" s="23"/>
      <c r="D138" s="44"/>
      <c r="E138" s="23"/>
      <c r="F138" s="23"/>
      <c r="G138" s="23"/>
      <c r="H138" s="23"/>
      <c r="I138" s="23"/>
      <c r="J138" s="39"/>
    </row>
    <row r="139" spans="1:10" ht="13.2" customHeight="1" x14ac:dyDescent="0.25">
      <c r="A139" s="42"/>
      <c r="B139" s="22"/>
      <c r="C139" s="23"/>
      <c r="D139" s="39"/>
      <c r="E139" s="39"/>
      <c r="F139" s="23"/>
      <c r="G139" s="23"/>
      <c r="H139" s="23"/>
      <c r="I139" s="23"/>
      <c r="J139" s="39"/>
    </row>
    <row r="140" spans="1:10" ht="13.2" x14ac:dyDescent="0.25">
      <c r="A140" s="52"/>
      <c r="B140" s="22"/>
      <c r="C140" s="23"/>
      <c r="D140" s="40"/>
      <c r="E140" s="40"/>
      <c r="F140" s="23"/>
      <c r="G140" s="39"/>
      <c r="H140" s="23"/>
      <c r="I140" s="23"/>
      <c r="J140" s="23"/>
    </row>
    <row r="141" spans="1:10" ht="13.2" x14ac:dyDescent="0.25">
      <c r="A141" s="53"/>
      <c r="B141" s="22"/>
      <c r="C141" s="23"/>
      <c r="D141" s="23"/>
      <c r="E141" s="23"/>
      <c r="F141" s="23"/>
      <c r="G141" s="23"/>
      <c r="H141" s="23"/>
      <c r="I141" s="23"/>
      <c r="J141" s="23"/>
    </row>
    <row r="142" spans="1:10" ht="13.2" x14ac:dyDescent="0.25">
      <c r="A142" s="53"/>
      <c r="B142" s="22"/>
      <c r="C142" s="23"/>
      <c r="D142" s="39"/>
      <c r="E142" s="39"/>
      <c r="F142" s="23"/>
      <c r="G142" s="23"/>
      <c r="H142" s="23"/>
      <c r="I142" s="23"/>
      <c r="J142" s="23"/>
    </row>
    <row r="143" spans="1:10" ht="13.2" x14ac:dyDescent="0.25">
      <c r="A143" s="43"/>
      <c r="B143" s="22"/>
      <c r="C143" s="23"/>
      <c r="D143" s="39"/>
      <c r="E143" s="39"/>
      <c r="F143" s="23"/>
      <c r="G143" s="23"/>
      <c r="H143" s="23"/>
      <c r="I143" s="23"/>
      <c r="J143" s="23"/>
    </row>
    <row r="144" spans="1:10" ht="13.2" x14ac:dyDescent="0.25">
      <c r="A144" s="43"/>
      <c r="B144" s="22"/>
      <c r="C144" s="23"/>
      <c r="D144" s="39"/>
      <c r="E144" s="39"/>
      <c r="F144" s="23"/>
      <c r="G144" s="23"/>
      <c r="H144" s="23"/>
      <c r="I144" s="23"/>
      <c r="J144" s="23"/>
    </row>
    <row r="145" spans="1:10" ht="13.2" x14ac:dyDescent="0.25">
      <c r="A145" s="43"/>
      <c r="B145" s="22"/>
      <c r="C145" s="23"/>
      <c r="D145" s="39"/>
      <c r="E145" s="39"/>
      <c r="F145" s="23"/>
      <c r="G145" s="23"/>
      <c r="H145" s="23"/>
      <c r="I145" s="23"/>
      <c r="J145" s="23"/>
    </row>
    <row r="146" spans="1:10" ht="13.2" x14ac:dyDescent="0.25">
      <c r="A146" s="42"/>
      <c r="B146" s="22"/>
      <c r="C146" s="23"/>
      <c r="D146" s="39"/>
      <c r="E146" s="39"/>
      <c r="F146" s="23"/>
      <c r="G146" s="23"/>
      <c r="H146" s="23"/>
      <c r="I146" s="23"/>
      <c r="J146" s="39"/>
    </row>
    <row r="147" spans="1:10" ht="13.2" x14ac:dyDescent="0.25">
      <c r="A147" s="42"/>
      <c r="B147" s="22"/>
      <c r="C147" s="23"/>
      <c r="D147" s="44"/>
      <c r="E147" s="23"/>
      <c r="F147" s="23"/>
      <c r="G147" s="23"/>
      <c r="H147" s="23"/>
      <c r="I147" s="23"/>
      <c r="J147" s="39"/>
    </row>
    <row r="148" spans="1:10" ht="13.2" x14ac:dyDescent="0.25">
      <c r="A148" s="42"/>
      <c r="B148" s="22"/>
      <c r="C148" s="23"/>
      <c r="D148" s="39"/>
      <c r="E148" s="39"/>
      <c r="F148" s="23"/>
      <c r="G148" s="23"/>
      <c r="H148" s="23"/>
      <c r="I148" s="23"/>
      <c r="J148" s="39"/>
    </row>
    <row r="149" spans="1:10" ht="13.2" x14ac:dyDescent="0.25">
      <c r="A149" s="52"/>
      <c r="B149" s="22"/>
      <c r="C149" s="23"/>
      <c r="D149" s="40"/>
      <c r="E149" s="40"/>
      <c r="F149" s="23"/>
      <c r="G149" s="39"/>
      <c r="H149" s="23"/>
      <c r="I149" s="23"/>
      <c r="J149" s="23"/>
    </row>
    <row r="150" spans="1:10" ht="13.2" x14ac:dyDescent="0.25">
      <c r="A150" s="53"/>
      <c r="B150" s="22"/>
      <c r="C150" s="23"/>
      <c r="D150" s="23"/>
      <c r="E150" s="23"/>
      <c r="F150" s="23"/>
      <c r="G150" s="23"/>
      <c r="H150" s="23"/>
      <c r="I150" s="23"/>
      <c r="J150" s="23"/>
    </row>
    <row r="151" spans="1:10" ht="13.2" customHeight="1" x14ac:dyDescent="0.25">
      <c r="A151" s="53"/>
      <c r="B151" s="22"/>
      <c r="C151" s="23"/>
      <c r="D151" s="39"/>
      <c r="E151" s="39"/>
      <c r="F151" s="23"/>
      <c r="G151" s="23"/>
      <c r="H151" s="23"/>
      <c r="I151" s="23"/>
      <c r="J151" s="23"/>
    </row>
    <row r="152" spans="1:10" ht="13.2" customHeight="1" x14ac:dyDescent="0.25">
      <c r="A152" s="43"/>
      <c r="B152" s="22"/>
      <c r="C152" s="23"/>
      <c r="D152" s="39"/>
      <c r="E152" s="39"/>
      <c r="F152" s="23"/>
      <c r="G152" s="23"/>
      <c r="H152" s="23"/>
      <c r="I152" s="23"/>
      <c r="J152" s="23"/>
    </row>
    <row r="153" spans="1:10" ht="52.95" customHeight="1" x14ac:dyDescent="0.25">
      <c r="A153" s="43"/>
      <c r="B153" s="22"/>
      <c r="C153" s="23"/>
      <c r="D153" s="39"/>
      <c r="E153" s="39"/>
      <c r="F153" s="23"/>
      <c r="G153" s="23"/>
      <c r="H153" s="23"/>
      <c r="I153" s="23"/>
      <c r="J153" s="23"/>
    </row>
    <row r="154" spans="1:10" ht="13.2" customHeight="1" x14ac:dyDescent="0.25">
      <c r="A154" s="43"/>
      <c r="B154" s="22"/>
      <c r="C154" s="23"/>
      <c r="D154" s="39"/>
      <c r="E154" s="39"/>
      <c r="F154" s="23"/>
      <c r="G154" s="23"/>
      <c r="H154" s="23"/>
      <c r="I154" s="23"/>
      <c r="J154" s="23"/>
    </row>
    <row r="155" spans="1:10" ht="13.2" customHeight="1" x14ac:dyDescent="0.25">
      <c r="A155" s="42"/>
      <c r="B155" s="22"/>
      <c r="C155" s="23"/>
      <c r="D155" s="39"/>
      <c r="E155" s="39"/>
      <c r="F155" s="23"/>
      <c r="G155" s="23"/>
      <c r="H155" s="23"/>
      <c r="I155" s="23"/>
      <c r="J155" s="39"/>
    </row>
    <row r="156" spans="1:10" ht="13.2" customHeight="1" x14ac:dyDescent="0.25">
      <c r="A156" s="42"/>
      <c r="B156" s="22"/>
      <c r="C156" s="23"/>
      <c r="D156" s="44"/>
      <c r="E156" s="23"/>
      <c r="F156" s="23"/>
      <c r="G156" s="23"/>
      <c r="H156" s="23"/>
      <c r="I156" s="23"/>
      <c r="J156" s="39"/>
    </row>
    <row r="157" spans="1:10" ht="13.2" x14ac:dyDescent="0.25">
      <c r="A157" s="52"/>
      <c r="B157" s="22"/>
      <c r="C157" s="23"/>
      <c r="D157" s="40"/>
      <c r="E157" s="40"/>
      <c r="F157" s="23"/>
      <c r="G157" s="39"/>
      <c r="H157" s="23"/>
      <c r="I157" s="23"/>
      <c r="J157" s="23"/>
    </row>
    <row r="158" spans="1:10" ht="13.2" x14ac:dyDescent="0.25">
      <c r="A158" s="53"/>
      <c r="B158" s="22"/>
      <c r="C158" s="23"/>
      <c r="D158" s="23"/>
      <c r="E158" s="23"/>
      <c r="F158" s="23"/>
      <c r="G158" s="23"/>
      <c r="H158" s="23"/>
      <c r="I158" s="23"/>
      <c r="J158" s="23"/>
    </row>
    <row r="159" spans="1:10" ht="13.2" x14ac:dyDescent="0.25">
      <c r="A159" s="53"/>
      <c r="B159" s="22"/>
      <c r="C159" s="23"/>
      <c r="D159" s="39"/>
      <c r="E159" s="39"/>
      <c r="F159" s="23"/>
      <c r="G159" s="23"/>
      <c r="H159" s="23"/>
      <c r="I159" s="23"/>
      <c r="J159" s="23"/>
    </row>
    <row r="160" spans="1:10" ht="13.2" x14ac:dyDescent="0.25">
      <c r="A160" s="43"/>
      <c r="B160" s="22"/>
      <c r="C160" s="23"/>
      <c r="D160" s="39"/>
      <c r="E160" s="39"/>
      <c r="F160" s="23"/>
      <c r="G160" s="23"/>
      <c r="H160" s="23"/>
      <c r="I160" s="23"/>
      <c r="J160" s="23"/>
    </row>
    <row r="161" spans="1:10" ht="13.2" x14ac:dyDescent="0.25">
      <c r="A161" s="43"/>
      <c r="B161" s="22"/>
      <c r="C161" s="23"/>
      <c r="D161" s="39"/>
      <c r="E161" s="39"/>
      <c r="F161" s="23"/>
      <c r="G161" s="23"/>
      <c r="H161" s="23"/>
      <c r="I161" s="23"/>
      <c r="J161" s="23"/>
    </row>
    <row r="162" spans="1:10" ht="13.2" x14ac:dyDescent="0.25">
      <c r="A162" s="43"/>
      <c r="B162" s="22"/>
      <c r="C162" s="23"/>
      <c r="D162" s="39"/>
      <c r="E162" s="39"/>
      <c r="F162" s="23"/>
      <c r="G162" s="23"/>
      <c r="H162" s="23"/>
      <c r="I162" s="23"/>
      <c r="J162" s="23"/>
    </row>
    <row r="163" spans="1:10" ht="13.2" x14ac:dyDescent="0.25">
      <c r="A163" s="42"/>
      <c r="B163" s="22"/>
      <c r="C163" s="23"/>
      <c r="D163" s="39"/>
      <c r="E163" s="39"/>
      <c r="F163" s="23"/>
      <c r="G163" s="23"/>
      <c r="H163" s="23"/>
      <c r="I163" s="23"/>
      <c r="J163" s="39"/>
    </row>
    <row r="164" spans="1:10" ht="13.2" x14ac:dyDescent="0.25">
      <c r="A164" s="42"/>
      <c r="B164" s="22"/>
      <c r="C164" s="23"/>
      <c r="D164" s="44"/>
      <c r="E164" s="23"/>
      <c r="F164" s="23"/>
      <c r="G164" s="23"/>
      <c r="H164" s="23"/>
      <c r="I164" s="23"/>
      <c r="J164" s="39"/>
    </row>
    <row r="165" spans="1:10" ht="13.2" x14ac:dyDescent="0.25">
      <c r="A165" s="52"/>
      <c r="B165" s="22"/>
      <c r="C165" s="23"/>
      <c r="D165" s="40"/>
      <c r="E165" s="40"/>
      <c r="F165" s="23"/>
      <c r="G165" s="39"/>
      <c r="H165" s="23"/>
      <c r="I165" s="23"/>
      <c r="J165" s="23"/>
    </row>
    <row r="166" spans="1:10" ht="13.2" x14ac:dyDescent="0.25">
      <c r="A166" s="53"/>
      <c r="B166" s="22"/>
      <c r="C166" s="23"/>
      <c r="D166" s="23"/>
      <c r="E166" s="23"/>
      <c r="F166" s="23"/>
      <c r="G166" s="23"/>
      <c r="H166" s="23"/>
      <c r="I166" s="23"/>
      <c r="J166" s="23"/>
    </row>
    <row r="167" spans="1:10" ht="13.2" x14ac:dyDescent="0.25">
      <c r="A167" s="53"/>
      <c r="B167" s="22"/>
      <c r="C167" s="23"/>
      <c r="D167" s="39"/>
      <c r="E167" s="39"/>
      <c r="F167" s="23"/>
      <c r="G167" s="23"/>
      <c r="H167" s="23"/>
      <c r="I167" s="23"/>
      <c r="J167" s="23"/>
    </row>
    <row r="168" spans="1:10" ht="13.2" x14ac:dyDescent="0.25">
      <c r="A168" s="43"/>
      <c r="B168" s="22"/>
      <c r="C168" s="23"/>
      <c r="D168" s="39"/>
      <c r="E168" s="39"/>
      <c r="F168" s="23"/>
      <c r="G168" s="23"/>
      <c r="H168" s="23"/>
      <c r="I168" s="23"/>
      <c r="J168" s="23"/>
    </row>
    <row r="169" spans="1:10" ht="13.2" x14ac:dyDescent="0.25">
      <c r="A169" s="43"/>
      <c r="B169" s="22"/>
      <c r="C169" s="23"/>
      <c r="D169" s="39"/>
      <c r="E169" s="39"/>
      <c r="F169" s="23"/>
      <c r="G169" s="23"/>
      <c r="H169" s="23"/>
      <c r="I169" s="23"/>
      <c r="J169" s="23"/>
    </row>
    <row r="170" spans="1:10" ht="13.2" x14ac:dyDescent="0.25">
      <c r="A170" s="43"/>
      <c r="B170" s="22"/>
      <c r="C170" s="23"/>
      <c r="D170" s="39"/>
      <c r="E170" s="39"/>
      <c r="F170" s="23"/>
      <c r="G170" s="23"/>
      <c r="H170" s="23"/>
      <c r="I170" s="23"/>
      <c r="J170" s="23"/>
    </row>
    <row r="171" spans="1:10" ht="13.2" x14ac:dyDescent="0.25">
      <c r="A171" s="42"/>
      <c r="B171" s="22"/>
      <c r="C171" s="23"/>
      <c r="D171" s="39"/>
      <c r="E171" s="39"/>
      <c r="F171" s="23"/>
      <c r="G171" s="23"/>
      <c r="H171" s="23"/>
      <c r="I171" s="23"/>
      <c r="J171" s="39"/>
    </row>
    <row r="172" spans="1:10" ht="13.2" x14ac:dyDescent="0.25">
      <c r="A172" s="42"/>
      <c r="B172" s="22"/>
      <c r="C172" s="23"/>
      <c r="D172" s="44"/>
      <c r="E172" s="23"/>
      <c r="F172" s="23"/>
      <c r="G172" s="23"/>
      <c r="H172" s="23"/>
      <c r="I172" s="23"/>
      <c r="J172" s="39"/>
    </row>
    <row r="173" spans="1:10" ht="13.2" x14ac:dyDescent="0.25">
      <c r="A173" s="52"/>
      <c r="B173" s="22"/>
      <c r="C173" s="23"/>
      <c r="D173" s="40"/>
      <c r="E173" s="40"/>
      <c r="F173" s="23"/>
      <c r="G173" s="39"/>
      <c r="H173" s="23"/>
      <c r="I173" s="23"/>
      <c r="J173" s="23"/>
    </row>
    <row r="174" spans="1:10" ht="13.2" x14ac:dyDescent="0.25">
      <c r="A174" s="53"/>
      <c r="B174" s="22"/>
      <c r="C174" s="23"/>
      <c r="D174" s="23"/>
      <c r="E174" s="23"/>
      <c r="F174" s="23"/>
      <c r="G174" s="23"/>
      <c r="H174" s="23"/>
      <c r="I174" s="23"/>
      <c r="J174" s="23"/>
    </row>
    <row r="175" spans="1:10" ht="13.2" x14ac:dyDescent="0.25">
      <c r="A175" s="53"/>
      <c r="B175" s="22"/>
      <c r="C175" s="23"/>
      <c r="D175" s="39"/>
      <c r="E175" s="39"/>
      <c r="F175" s="23"/>
      <c r="G175" s="23"/>
      <c r="H175" s="23"/>
      <c r="I175" s="23"/>
      <c r="J175" s="23"/>
    </row>
    <row r="176" spans="1:10" ht="13.2" x14ac:dyDescent="0.25">
      <c r="A176" s="43"/>
      <c r="B176" s="22"/>
      <c r="C176" s="23"/>
      <c r="D176" s="39"/>
      <c r="E176" s="39"/>
      <c r="F176" s="23"/>
      <c r="G176" s="23"/>
      <c r="H176" s="23"/>
      <c r="I176" s="23"/>
      <c r="J176" s="23"/>
    </row>
    <row r="177" spans="1:10" ht="13.2" x14ac:dyDescent="0.25">
      <c r="A177" s="43"/>
      <c r="B177" s="22"/>
      <c r="C177" s="23"/>
      <c r="D177" s="39"/>
      <c r="E177" s="39"/>
      <c r="F177" s="23"/>
      <c r="G177" s="23"/>
      <c r="H177" s="23"/>
      <c r="I177" s="23"/>
      <c r="J177" s="23"/>
    </row>
    <row r="178" spans="1:10" ht="13.2" x14ac:dyDescent="0.25">
      <c r="A178" s="43"/>
      <c r="B178" s="22"/>
      <c r="C178" s="23"/>
      <c r="D178" s="39"/>
      <c r="E178" s="39"/>
      <c r="F178" s="23"/>
      <c r="G178" s="23"/>
      <c r="H178" s="23"/>
      <c r="I178" s="23"/>
      <c r="J178" s="23"/>
    </row>
    <row r="179" spans="1:10" ht="13.2" x14ac:dyDescent="0.25">
      <c r="A179" s="42"/>
      <c r="B179" s="22"/>
      <c r="C179" s="23"/>
      <c r="D179" s="39"/>
      <c r="E179" s="39"/>
      <c r="F179" s="23"/>
      <c r="G179" s="23"/>
      <c r="H179" s="23"/>
      <c r="I179" s="23"/>
      <c r="J179" s="39"/>
    </row>
    <row r="180" spans="1:10" ht="13.2" x14ac:dyDescent="0.25">
      <c r="A180" s="42"/>
      <c r="B180" s="22"/>
      <c r="C180" s="23"/>
      <c r="D180" s="44"/>
      <c r="E180" s="23"/>
      <c r="F180" s="23"/>
      <c r="G180" s="23"/>
      <c r="H180" s="23"/>
      <c r="I180" s="23"/>
      <c r="J180" s="39"/>
    </row>
    <row r="181" spans="1:10" ht="13.2" x14ac:dyDescent="0.25">
      <c r="A181" s="52"/>
      <c r="B181" s="22"/>
      <c r="C181" s="23"/>
      <c r="D181" s="40"/>
      <c r="E181" s="40"/>
      <c r="F181" s="23"/>
      <c r="G181" s="39"/>
      <c r="H181" s="23"/>
      <c r="I181" s="23"/>
      <c r="J181" s="23"/>
    </row>
    <row r="182" spans="1:10" ht="13.2" x14ac:dyDescent="0.25">
      <c r="A182" s="53"/>
      <c r="B182" s="22"/>
      <c r="C182" s="23"/>
      <c r="D182" s="23"/>
      <c r="E182" s="23"/>
      <c r="F182" s="23"/>
      <c r="G182" s="23"/>
      <c r="H182" s="23"/>
      <c r="I182" s="23"/>
      <c r="J182" s="23"/>
    </row>
    <row r="183" spans="1:10" ht="13.2" x14ac:dyDescent="0.25">
      <c r="A183" s="53"/>
      <c r="B183" s="22"/>
      <c r="C183" s="23"/>
      <c r="D183" s="39"/>
      <c r="E183" s="39"/>
      <c r="F183" s="23"/>
      <c r="G183" s="23"/>
      <c r="H183" s="23"/>
      <c r="I183" s="23"/>
      <c r="J183" s="23"/>
    </row>
    <row r="184" spans="1:10" ht="13.2" x14ac:dyDescent="0.25">
      <c r="A184" s="43"/>
      <c r="B184" s="22"/>
      <c r="C184" s="23"/>
      <c r="D184" s="39"/>
      <c r="E184" s="39"/>
      <c r="F184" s="23"/>
      <c r="G184" s="23"/>
      <c r="H184" s="23"/>
      <c r="I184" s="23"/>
      <c r="J184" s="23"/>
    </row>
    <row r="185" spans="1:10" ht="13.2" x14ac:dyDescent="0.25">
      <c r="A185" s="43"/>
      <c r="B185" s="22"/>
      <c r="C185" s="23"/>
      <c r="D185" s="39"/>
      <c r="E185" s="39"/>
      <c r="F185" s="23"/>
      <c r="G185" s="23"/>
      <c r="H185" s="23"/>
      <c r="I185" s="23"/>
      <c r="J185" s="23"/>
    </row>
    <row r="186" spans="1:10" ht="13.2" x14ac:dyDescent="0.25">
      <c r="A186" s="43"/>
      <c r="B186" s="22"/>
      <c r="C186" s="23"/>
      <c r="D186" s="39"/>
      <c r="E186" s="39"/>
      <c r="F186" s="23"/>
      <c r="G186" s="23"/>
      <c r="H186" s="23"/>
      <c r="I186" s="23"/>
      <c r="J186" s="23"/>
    </row>
    <row r="187" spans="1:10" ht="13.2" x14ac:dyDescent="0.25">
      <c r="A187" s="42"/>
      <c r="B187" s="22"/>
      <c r="C187" s="23"/>
      <c r="D187" s="39"/>
      <c r="E187" s="39"/>
      <c r="F187" s="23"/>
      <c r="G187" s="23"/>
      <c r="H187" s="23"/>
      <c r="I187" s="23"/>
      <c r="J187" s="39"/>
    </row>
    <row r="188" spans="1:10" ht="13.2" x14ac:dyDescent="0.25">
      <c r="A188" s="42"/>
      <c r="B188" s="22"/>
      <c r="C188" s="23"/>
      <c r="D188" s="44"/>
      <c r="E188" s="23"/>
      <c r="F188" s="23"/>
      <c r="G188" s="23"/>
      <c r="H188" s="23"/>
      <c r="I188" s="23"/>
      <c r="J188" s="39"/>
    </row>
    <row r="189" spans="1:10" ht="13.2" x14ac:dyDescent="0.25">
      <c r="A189" s="52"/>
      <c r="B189" s="22"/>
      <c r="C189" s="23"/>
      <c r="D189" s="40"/>
      <c r="E189" s="40"/>
      <c r="F189" s="23"/>
      <c r="G189" s="39"/>
      <c r="H189" s="23"/>
      <c r="I189" s="23"/>
      <c r="J189" s="23"/>
    </row>
    <row r="190" spans="1:10" ht="13.2" x14ac:dyDescent="0.25">
      <c r="A190" s="53"/>
      <c r="B190" s="22"/>
      <c r="C190" s="23"/>
      <c r="D190" s="23"/>
      <c r="E190" s="23"/>
      <c r="F190" s="23"/>
      <c r="G190" s="23"/>
      <c r="H190" s="23"/>
      <c r="I190" s="23"/>
      <c r="J190" s="23"/>
    </row>
    <row r="191" spans="1:10" ht="13.2" x14ac:dyDescent="0.25">
      <c r="A191" s="53"/>
      <c r="B191" s="22"/>
      <c r="C191" s="23"/>
      <c r="D191" s="39"/>
      <c r="E191" s="39"/>
      <c r="F191" s="23"/>
      <c r="G191" s="23"/>
      <c r="H191" s="23"/>
      <c r="I191" s="23"/>
      <c r="J191" s="23"/>
    </row>
    <row r="192" spans="1:10" ht="13.2" x14ac:dyDescent="0.25">
      <c r="A192" s="43"/>
      <c r="B192" s="22"/>
      <c r="C192" s="23"/>
      <c r="D192" s="39"/>
      <c r="E192" s="39"/>
      <c r="F192" s="23"/>
      <c r="G192" s="23"/>
      <c r="H192" s="23"/>
      <c r="I192" s="23"/>
      <c r="J192" s="23"/>
    </row>
    <row r="193" spans="1:10" ht="13.2" x14ac:dyDescent="0.25">
      <c r="A193" s="43"/>
      <c r="B193" s="22"/>
      <c r="C193" s="23"/>
      <c r="D193" s="39"/>
      <c r="E193" s="39"/>
      <c r="F193" s="23"/>
      <c r="G193" s="23"/>
      <c r="H193" s="23"/>
      <c r="I193" s="23"/>
      <c r="J193" s="23"/>
    </row>
    <row r="194" spans="1:10" ht="13.2" x14ac:dyDescent="0.25">
      <c r="A194" s="43"/>
      <c r="B194" s="22"/>
      <c r="C194" s="23"/>
      <c r="D194" s="39"/>
      <c r="E194" s="39"/>
      <c r="F194" s="23"/>
      <c r="G194" s="23"/>
      <c r="H194" s="23"/>
      <c r="I194" s="23"/>
      <c r="J194" s="23"/>
    </row>
    <row r="195" spans="1:10" ht="13.2" x14ac:dyDescent="0.25">
      <c r="A195" s="42"/>
      <c r="B195" s="22"/>
      <c r="C195" s="23"/>
      <c r="D195" s="39"/>
      <c r="E195" s="39"/>
      <c r="F195" s="23"/>
      <c r="G195" s="23"/>
      <c r="H195" s="23"/>
      <c r="I195" s="23"/>
      <c r="J195" s="39"/>
    </row>
    <row r="196" spans="1:10" ht="13.2" x14ac:dyDescent="0.25">
      <c r="A196" s="42"/>
      <c r="B196" s="22"/>
      <c r="C196" s="23"/>
      <c r="D196" s="44"/>
      <c r="E196" s="23"/>
      <c r="F196" s="23"/>
      <c r="G196" s="23"/>
      <c r="H196" s="23"/>
      <c r="I196" s="23"/>
      <c r="J196" s="39"/>
    </row>
    <row r="197" spans="1:10" ht="13.2" x14ac:dyDescent="0.25">
      <c r="A197" s="52"/>
      <c r="B197" s="22"/>
      <c r="C197" s="23"/>
      <c r="D197" s="40"/>
      <c r="E197" s="40"/>
      <c r="F197" s="23"/>
      <c r="G197" s="39"/>
      <c r="H197" s="23"/>
      <c r="I197" s="23"/>
      <c r="J197" s="23"/>
    </row>
    <row r="198" spans="1:10" ht="13.2" x14ac:dyDescent="0.25">
      <c r="A198" s="53"/>
      <c r="B198" s="22"/>
      <c r="C198" s="23"/>
      <c r="D198" s="23"/>
      <c r="E198" s="23"/>
      <c r="F198" s="23"/>
      <c r="G198" s="23"/>
      <c r="H198" s="23"/>
      <c r="I198" s="23"/>
      <c r="J198" s="23"/>
    </row>
    <row r="199" spans="1:10" ht="13.2" x14ac:dyDescent="0.25">
      <c r="A199" s="53"/>
      <c r="B199" s="22"/>
      <c r="C199" s="23"/>
      <c r="D199" s="39"/>
      <c r="E199" s="39"/>
      <c r="F199" s="23"/>
      <c r="G199" s="23"/>
      <c r="H199" s="23"/>
      <c r="I199" s="23"/>
      <c r="J199" s="23"/>
    </row>
    <row r="200" spans="1:10" ht="13.2" x14ac:dyDescent="0.25">
      <c r="A200" s="43"/>
      <c r="B200" s="22"/>
      <c r="C200" s="23"/>
      <c r="D200" s="39"/>
      <c r="E200" s="39"/>
      <c r="F200" s="23"/>
      <c r="G200" s="23"/>
      <c r="H200" s="23"/>
      <c r="I200" s="23"/>
      <c r="J200" s="23"/>
    </row>
    <row r="201" spans="1:10" ht="13.2" x14ac:dyDescent="0.25">
      <c r="A201" s="43"/>
      <c r="B201" s="22"/>
      <c r="C201" s="23"/>
      <c r="D201" s="39"/>
      <c r="E201" s="39"/>
      <c r="F201" s="23"/>
      <c r="G201" s="23"/>
      <c r="H201" s="23"/>
      <c r="I201" s="23"/>
      <c r="J201" s="23"/>
    </row>
    <row r="202" spans="1:10" ht="77.25" customHeight="1" x14ac:dyDescent="0.25">
      <c r="A202" s="43"/>
      <c r="B202" s="22"/>
      <c r="C202" s="23"/>
      <c r="D202" s="39"/>
      <c r="E202" s="39"/>
      <c r="F202" s="23"/>
      <c r="G202" s="23"/>
      <c r="H202" s="23"/>
      <c r="I202" s="23"/>
      <c r="J202" s="23"/>
    </row>
    <row r="203" spans="1:10" ht="13.2" x14ac:dyDescent="0.25">
      <c r="A203" s="42"/>
      <c r="B203" s="22"/>
      <c r="C203" s="23"/>
      <c r="D203" s="39"/>
      <c r="E203" s="39"/>
      <c r="F203" s="23"/>
      <c r="G203" s="23"/>
      <c r="H203" s="23"/>
      <c r="I203" s="23"/>
      <c r="J203" s="39"/>
    </row>
    <row r="204" spans="1:10" ht="13.2" x14ac:dyDescent="0.25">
      <c r="A204" s="42"/>
      <c r="B204" s="22"/>
      <c r="C204" s="23"/>
      <c r="D204" s="44"/>
      <c r="E204" s="23"/>
      <c r="F204" s="23"/>
      <c r="G204" s="23"/>
      <c r="H204" s="23"/>
      <c r="I204" s="23"/>
      <c r="J204" s="39"/>
    </row>
    <row r="205" spans="1:10" ht="13.2" x14ac:dyDescent="0.25">
      <c r="A205" s="52"/>
      <c r="B205" s="22"/>
      <c r="C205" s="23"/>
      <c r="D205" s="40"/>
      <c r="E205" s="40"/>
      <c r="F205" s="23"/>
      <c r="G205" s="39"/>
      <c r="H205" s="23"/>
      <c r="I205" s="23"/>
      <c r="J205" s="23"/>
    </row>
    <row r="206" spans="1:10" ht="13.2" x14ac:dyDescent="0.25">
      <c r="A206" s="53"/>
      <c r="B206" s="22"/>
      <c r="C206" s="23"/>
      <c r="D206" s="23"/>
      <c r="E206" s="23"/>
      <c r="F206" s="23"/>
      <c r="G206" s="23"/>
      <c r="H206" s="23"/>
      <c r="I206" s="23"/>
      <c r="J206" s="23"/>
    </row>
    <row r="207" spans="1:10" ht="13.2" x14ac:dyDescent="0.25">
      <c r="A207" s="53"/>
      <c r="B207" s="22"/>
      <c r="C207" s="23"/>
      <c r="D207" s="39"/>
      <c r="E207" s="39"/>
      <c r="F207" s="23"/>
      <c r="G207" s="23"/>
      <c r="H207" s="23"/>
      <c r="I207" s="23"/>
      <c r="J207" s="23"/>
    </row>
    <row r="208" spans="1:10" ht="13.2" x14ac:dyDescent="0.25">
      <c r="A208" s="43"/>
      <c r="B208" s="22"/>
      <c r="C208" s="23"/>
      <c r="D208" s="39"/>
      <c r="E208" s="39"/>
      <c r="F208" s="23"/>
      <c r="G208" s="23"/>
      <c r="H208" s="23"/>
      <c r="I208" s="23"/>
      <c r="J208" s="23"/>
    </row>
    <row r="209" spans="1:10" ht="13.2" x14ac:dyDescent="0.25">
      <c r="A209" s="43"/>
      <c r="B209" s="22"/>
      <c r="C209" s="23"/>
      <c r="D209" s="39"/>
      <c r="E209" s="39"/>
      <c r="F209" s="23"/>
      <c r="G209" s="23"/>
      <c r="H209" s="23"/>
      <c r="I209" s="23"/>
      <c r="J209" s="23"/>
    </row>
    <row r="210" spans="1:10" ht="13.2" x14ac:dyDescent="0.25">
      <c r="A210" s="43"/>
      <c r="B210" s="22"/>
      <c r="C210" s="23"/>
      <c r="D210" s="39"/>
      <c r="E210" s="39"/>
      <c r="F210" s="23"/>
      <c r="G210" s="23"/>
      <c r="H210" s="23"/>
      <c r="I210" s="23"/>
      <c r="J210" s="23"/>
    </row>
    <row r="211" spans="1:10" ht="41.25" customHeight="1" x14ac:dyDescent="0.25">
      <c r="A211" s="42"/>
      <c r="B211" s="22"/>
      <c r="C211" s="23"/>
      <c r="D211" s="39"/>
      <c r="E211" s="39"/>
      <c r="F211" s="23"/>
      <c r="G211" s="23"/>
      <c r="H211" s="23"/>
      <c r="I211" s="23"/>
      <c r="J211" s="39"/>
    </row>
    <row r="212" spans="1:10" ht="13.2" x14ac:dyDescent="0.25">
      <c r="A212" s="42"/>
      <c r="B212" s="22"/>
      <c r="C212" s="23"/>
      <c r="D212" s="44"/>
      <c r="E212" s="23"/>
      <c r="F212" s="23"/>
      <c r="G212" s="23"/>
      <c r="H212" s="23"/>
      <c r="I212" s="23"/>
      <c r="J212" s="39"/>
    </row>
    <row r="213" spans="1:10" ht="13.2" x14ac:dyDescent="0.25">
      <c r="A213" s="42"/>
      <c r="B213" s="22"/>
      <c r="C213" s="23"/>
      <c r="D213" s="23"/>
      <c r="E213" s="23"/>
      <c r="F213" s="23"/>
      <c r="G213" s="23"/>
      <c r="H213" s="23"/>
      <c r="I213" s="23"/>
      <c r="J213" s="39"/>
    </row>
    <row r="214" spans="1:10" ht="13.2" x14ac:dyDescent="0.25">
      <c r="A214" s="42"/>
      <c r="B214" s="22"/>
      <c r="C214" s="23"/>
      <c r="D214" s="39"/>
      <c r="E214" s="39"/>
      <c r="F214" s="23"/>
      <c r="G214" s="23"/>
      <c r="H214" s="23"/>
      <c r="I214" s="23"/>
      <c r="J214" s="39"/>
    </row>
    <row r="215" spans="1:10" ht="13.2" x14ac:dyDescent="0.25">
      <c r="A215" s="42"/>
      <c r="B215" s="22"/>
      <c r="C215" s="23"/>
      <c r="D215" s="39"/>
      <c r="E215" s="41"/>
      <c r="F215" s="23"/>
      <c r="G215" s="39"/>
      <c r="H215" s="23"/>
      <c r="I215" s="23"/>
      <c r="J215" s="23"/>
    </row>
    <row r="216" spans="1:10" ht="13.2" x14ac:dyDescent="0.25">
      <c r="A216" s="42"/>
      <c r="B216" s="22"/>
      <c r="C216" s="23"/>
      <c r="D216" s="39"/>
      <c r="E216" s="41"/>
      <c r="F216" s="23"/>
      <c r="G216" s="39"/>
      <c r="H216" s="23"/>
      <c r="I216" s="23"/>
      <c r="J216" s="23"/>
    </row>
    <row r="217" spans="1:10" ht="13.2" x14ac:dyDescent="0.25">
      <c r="A217" s="42"/>
      <c r="B217" s="22"/>
      <c r="C217" s="23"/>
      <c r="D217" s="39"/>
      <c r="E217" s="41"/>
      <c r="F217" s="23"/>
      <c r="G217" s="39"/>
      <c r="H217" s="23"/>
      <c r="I217" s="23"/>
      <c r="J217" s="23"/>
    </row>
    <row r="218" spans="1:10" ht="13.2" x14ac:dyDescent="0.25">
      <c r="A218" s="42"/>
      <c r="B218" s="22"/>
      <c r="C218" s="23"/>
      <c r="D218" s="39"/>
      <c r="E218" s="41"/>
      <c r="F218" s="23"/>
      <c r="G218" s="39"/>
      <c r="H218" s="23"/>
      <c r="I218" s="23"/>
      <c r="J218" s="23"/>
    </row>
    <row r="219" spans="1:10" ht="13.2" x14ac:dyDescent="0.25">
      <c r="A219" s="42"/>
      <c r="B219" s="22"/>
      <c r="C219" s="23"/>
      <c r="D219" s="39"/>
      <c r="E219" s="41"/>
      <c r="F219" s="23"/>
      <c r="G219" s="39"/>
      <c r="H219" s="23"/>
      <c r="I219" s="23"/>
      <c r="J219" s="23"/>
    </row>
    <row r="220" spans="1:10" ht="41.25" customHeight="1" x14ac:dyDescent="0.25">
      <c r="A220" s="42"/>
      <c r="B220" s="22"/>
      <c r="C220" s="23"/>
      <c r="D220" s="39"/>
      <c r="E220" s="41"/>
      <c r="F220" s="23"/>
      <c r="G220" s="39"/>
      <c r="H220" s="23"/>
      <c r="I220" s="23"/>
      <c r="J220" s="23"/>
    </row>
    <row r="221" spans="1:10" ht="13.2" x14ac:dyDescent="0.25">
      <c r="A221" s="42"/>
      <c r="B221" s="22"/>
      <c r="C221" s="39"/>
      <c r="D221" s="40"/>
      <c r="E221" s="40"/>
      <c r="F221" s="23"/>
      <c r="G221" s="39"/>
      <c r="H221" s="23"/>
      <c r="I221" s="23"/>
      <c r="J221" s="39"/>
    </row>
    <row r="222" spans="1:10" ht="13.2" x14ac:dyDescent="0.25">
      <c r="A222" s="42"/>
      <c r="B222" s="22"/>
      <c r="C222" s="23"/>
      <c r="D222" s="23"/>
      <c r="E222" s="23"/>
      <c r="F222" s="23"/>
      <c r="G222" s="23"/>
      <c r="H222" s="23"/>
      <c r="I222" s="23"/>
      <c r="J222" s="39"/>
    </row>
    <row r="223" spans="1:10" ht="13.2" x14ac:dyDescent="0.25">
      <c r="A223" s="42"/>
      <c r="B223" s="22"/>
      <c r="C223" s="23"/>
      <c r="D223" s="39"/>
      <c r="E223" s="39"/>
      <c r="F223" s="23"/>
      <c r="G223" s="23"/>
      <c r="H223" s="23"/>
      <c r="I223" s="23"/>
      <c r="J223" s="39"/>
    </row>
    <row r="224" spans="1:10" ht="13.2" x14ac:dyDescent="0.25">
      <c r="A224" s="42"/>
      <c r="B224" s="22"/>
      <c r="C224" s="23"/>
      <c r="D224" s="39"/>
      <c r="E224" s="41"/>
      <c r="F224" s="23"/>
      <c r="G224" s="39"/>
      <c r="H224" s="23"/>
      <c r="I224" s="23"/>
      <c r="J224" s="23"/>
    </row>
    <row r="225" spans="1:10" ht="13.2" x14ac:dyDescent="0.25">
      <c r="A225" s="42"/>
      <c r="B225" s="22"/>
      <c r="C225" s="23"/>
      <c r="D225" s="39"/>
      <c r="E225" s="41"/>
      <c r="F225" s="23"/>
      <c r="G225" s="39"/>
      <c r="H225" s="23"/>
      <c r="I225" s="23"/>
      <c r="J225" s="23"/>
    </row>
    <row r="226" spans="1:10" ht="13.2" x14ac:dyDescent="0.25">
      <c r="A226" s="42"/>
      <c r="B226" s="22"/>
      <c r="C226" s="23"/>
      <c r="D226" s="39"/>
      <c r="E226" s="41"/>
      <c r="F226" s="23"/>
      <c r="G226" s="39"/>
      <c r="H226" s="23"/>
      <c r="I226" s="23"/>
      <c r="J226" s="23"/>
    </row>
    <row r="227" spans="1:10" ht="13.2" x14ac:dyDescent="0.25">
      <c r="A227" s="42"/>
      <c r="B227" s="22"/>
      <c r="C227" s="23"/>
      <c r="D227" s="39"/>
      <c r="E227" s="41"/>
      <c r="F227" s="23"/>
      <c r="G227" s="39"/>
      <c r="H227" s="23"/>
      <c r="I227" s="23"/>
      <c r="J227" s="23"/>
    </row>
    <row r="228" spans="1:10" ht="13.2" x14ac:dyDescent="0.25">
      <c r="A228" s="42"/>
      <c r="B228" s="22"/>
      <c r="C228" s="23"/>
      <c r="D228" s="39"/>
      <c r="E228" s="41"/>
      <c r="F228" s="23"/>
      <c r="G228" s="39"/>
      <c r="H228" s="23"/>
      <c r="I228" s="23"/>
      <c r="J228" s="23"/>
    </row>
    <row r="229" spans="1:10" ht="13.2" x14ac:dyDescent="0.25">
      <c r="A229" s="42"/>
      <c r="B229" s="22"/>
      <c r="C229" s="23"/>
      <c r="D229" s="39"/>
      <c r="E229" s="41"/>
      <c r="F229" s="23"/>
      <c r="G229" s="39"/>
      <c r="H229" s="23"/>
      <c r="I229" s="23"/>
      <c r="J229" s="23"/>
    </row>
    <row r="230" spans="1:10" ht="13.2" x14ac:dyDescent="0.25">
      <c r="A230" s="42"/>
      <c r="B230" s="22"/>
      <c r="C230" s="39"/>
      <c r="D230" s="40"/>
      <c r="E230" s="40"/>
      <c r="F230" s="23"/>
      <c r="G230" s="39"/>
      <c r="H230" s="23"/>
      <c r="I230" s="23"/>
      <c r="J230" s="39"/>
    </row>
    <row r="231" spans="1:10" ht="13.2" x14ac:dyDescent="0.25">
      <c r="A231" s="42"/>
      <c r="B231" s="22"/>
      <c r="C231" s="23"/>
      <c r="D231" s="23"/>
      <c r="E231" s="23"/>
      <c r="F231" s="23"/>
      <c r="G231" s="23"/>
      <c r="H231" s="23"/>
      <c r="I231" s="23"/>
      <c r="J231" s="39"/>
    </row>
    <row r="232" spans="1:10" ht="13.2" x14ac:dyDescent="0.25">
      <c r="A232" s="42"/>
      <c r="B232" s="22"/>
      <c r="C232" s="23"/>
      <c r="D232" s="39"/>
      <c r="E232" s="39"/>
      <c r="F232" s="23"/>
      <c r="G232" s="23"/>
      <c r="H232" s="23"/>
      <c r="I232" s="23"/>
      <c r="J232" s="39"/>
    </row>
    <row r="233" spans="1:10" ht="13.2" x14ac:dyDescent="0.25">
      <c r="A233" s="42"/>
      <c r="B233" s="22"/>
      <c r="C233" s="23"/>
      <c r="D233" s="39"/>
      <c r="E233" s="41"/>
      <c r="F233" s="23"/>
      <c r="G233" s="39"/>
      <c r="H233" s="23"/>
      <c r="I233" s="23"/>
      <c r="J233" s="23"/>
    </row>
    <row r="234" spans="1:10" ht="13.2" x14ac:dyDescent="0.25">
      <c r="A234" s="42"/>
      <c r="B234" s="22"/>
      <c r="C234" s="23"/>
      <c r="D234" s="39"/>
      <c r="E234" s="41"/>
      <c r="F234" s="23"/>
      <c r="G234" s="39"/>
      <c r="H234" s="23"/>
      <c r="I234" s="23"/>
      <c r="J234" s="23"/>
    </row>
    <row r="235" spans="1:10" ht="13.2" x14ac:dyDescent="0.25">
      <c r="A235" s="42"/>
      <c r="B235" s="22"/>
      <c r="C235" s="23"/>
      <c r="D235" s="39"/>
      <c r="E235" s="41"/>
      <c r="F235" s="23"/>
      <c r="G235" s="39"/>
      <c r="H235" s="23"/>
      <c r="I235" s="23"/>
      <c r="J235" s="23"/>
    </row>
    <row r="236" spans="1:10" ht="13.2" x14ac:dyDescent="0.25">
      <c r="A236" s="42"/>
      <c r="B236" s="22"/>
      <c r="C236" s="23"/>
      <c r="D236" s="39"/>
      <c r="E236" s="41"/>
      <c r="F236" s="23"/>
      <c r="G236" s="39"/>
      <c r="H236" s="23"/>
      <c r="I236" s="23"/>
      <c r="J236" s="23"/>
    </row>
    <row r="237" spans="1:10" ht="13.2" x14ac:dyDescent="0.25">
      <c r="A237" s="42"/>
      <c r="B237" s="22"/>
      <c r="C237" s="23"/>
      <c r="D237" s="39"/>
      <c r="E237" s="41"/>
      <c r="F237" s="23"/>
      <c r="G237" s="39"/>
      <c r="H237" s="23"/>
      <c r="I237" s="23"/>
      <c r="J237" s="23"/>
    </row>
    <row r="238" spans="1:10" ht="13.2" x14ac:dyDescent="0.25">
      <c r="A238" s="42"/>
      <c r="B238" s="22"/>
      <c r="C238" s="39"/>
      <c r="D238" s="40"/>
      <c r="E238" s="40"/>
      <c r="F238" s="23"/>
      <c r="G238" s="39"/>
      <c r="H238" s="23"/>
      <c r="I238" s="23"/>
      <c r="J238" s="39"/>
    </row>
    <row r="239" spans="1:10" ht="13.2" x14ac:dyDescent="0.25">
      <c r="A239" s="42"/>
      <c r="B239" s="22"/>
      <c r="C239" s="23"/>
      <c r="D239" s="23"/>
      <c r="E239" s="23"/>
      <c r="F239" s="23"/>
      <c r="G239" s="23"/>
      <c r="H239" s="23"/>
      <c r="I239" s="23"/>
      <c r="J239" s="39"/>
    </row>
    <row r="240" spans="1:10" ht="13.2" x14ac:dyDescent="0.25">
      <c r="A240" s="42"/>
      <c r="B240" s="22"/>
      <c r="C240" s="23"/>
      <c r="D240" s="39"/>
      <c r="E240" s="39"/>
      <c r="F240" s="23"/>
      <c r="G240" s="23"/>
      <c r="H240" s="23"/>
      <c r="I240" s="23"/>
      <c r="J240" s="39"/>
    </row>
    <row r="241" spans="1:10" ht="13.2" x14ac:dyDescent="0.25">
      <c r="A241" s="42"/>
      <c r="B241" s="22"/>
      <c r="C241" s="23"/>
      <c r="D241" s="39"/>
      <c r="E241" s="41"/>
      <c r="F241" s="23"/>
      <c r="G241" s="39"/>
      <c r="H241" s="23"/>
      <c r="I241" s="23"/>
      <c r="J241" s="23"/>
    </row>
    <row r="242" spans="1:10" ht="13.2" x14ac:dyDescent="0.25">
      <c r="A242" s="42"/>
      <c r="B242" s="22"/>
      <c r="C242" s="23"/>
      <c r="D242" s="39"/>
      <c r="E242" s="41"/>
      <c r="F242" s="23"/>
      <c r="G242" s="39"/>
      <c r="H242" s="23"/>
      <c r="I242" s="23"/>
      <c r="J242" s="23"/>
    </row>
    <row r="243" spans="1:10" ht="13.2" x14ac:dyDescent="0.25">
      <c r="A243" s="42"/>
      <c r="B243" s="22"/>
      <c r="C243" s="23"/>
      <c r="D243" s="39"/>
      <c r="E243" s="41"/>
      <c r="F243" s="23"/>
      <c r="G243" s="39"/>
      <c r="H243" s="23"/>
      <c r="I243" s="23"/>
      <c r="J243" s="23"/>
    </row>
    <row r="244" spans="1:10" ht="13.2" x14ac:dyDescent="0.25">
      <c r="A244" s="42"/>
      <c r="B244" s="22"/>
      <c r="C244" s="23"/>
      <c r="D244" s="39"/>
      <c r="E244" s="41"/>
      <c r="F244" s="23"/>
      <c r="G244" s="39"/>
      <c r="H244" s="23"/>
      <c r="I244" s="23"/>
      <c r="J244" s="23"/>
    </row>
    <row r="245" spans="1:10" ht="13.2" x14ac:dyDescent="0.25">
      <c r="A245" s="42"/>
      <c r="B245" s="22"/>
      <c r="C245" s="23"/>
      <c r="D245" s="39"/>
      <c r="E245" s="41"/>
      <c r="F245" s="23"/>
      <c r="G245" s="39"/>
      <c r="H245" s="23"/>
      <c r="I245" s="23"/>
      <c r="J245" s="23"/>
    </row>
    <row r="246" spans="1:10" ht="13.2" x14ac:dyDescent="0.25">
      <c r="A246" s="42"/>
      <c r="B246" s="22"/>
      <c r="C246" s="39"/>
      <c r="D246" s="40"/>
      <c r="E246" s="40"/>
      <c r="F246" s="23"/>
      <c r="G246" s="39"/>
      <c r="H246" s="23"/>
      <c r="I246" s="23"/>
      <c r="J246" s="39"/>
    </row>
    <row r="247" spans="1:10" ht="13.2" x14ac:dyDescent="0.25">
      <c r="A247" s="42"/>
      <c r="B247" s="22"/>
      <c r="C247" s="23"/>
      <c r="D247" s="23"/>
      <c r="E247" s="23"/>
      <c r="F247" s="23"/>
      <c r="G247" s="23"/>
      <c r="H247" s="23"/>
      <c r="I247" s="23"/>
      <c r="J247" s="39"/>
    </row>
    <row r="248" spans="1:10" ht="13.2" x14ac:dyDescent="0.25">
      <c r="A248" s="42"/>
      <c r="B248" s="22"/>
      <c r="C248" s="23"/>
      <c r="D248" s="39"/>
      <c r="E248" s="39"/>
      <c r="F248" s="23"/>
      <c r="G248" s="23"/>
      <c r="H248" s="23"/>
      <c r="I248" s="23"/>
      <c r="J248" s="39"/>
    </row>
    <row r="249" spans="1:10" ht="13.2" x14ac:dyDescent="0.25">
      <c r="A249" s="42"/>
      <c r="B249" s="22"/>
      <c r="C249" s="23"/>
      <c r="D249" s="39"/>
      <c r="E249" s="41"/>
      <c r="F249" s="23"/>
      <c r="G249" s="39"/>
      <c r="H249" s="23"/>
      <c r="I249" s="23"/>
      <c r="J249" s="23"/>
    </row>
    <row r="250" spans="1:10" ht="13.2" x14ac:dyDescent="0.25">
      <c r="A250" s="42"/>
      <c r="B250" s="22"/>
      <c r="C250" s="23"/>
      <c r="D250" s="39"/>
      <c r="E250" s="41"/>
      <c r="F250" s="23"/>
      <c r="G250" s="39"/>
      <c r="H250" s="23"/>
      <c r="I250" s="23"/>
      <c r="J250" s="23"/>
    </row>
    <row r="251" spans="1:10" ht="13.2" x14ac:dyDescent="0.25">
      <c r="A251" s="42"/>
      <c r="B251" s="22"/>
      <c r="C251" s="23"/>
      <c r="D251" s="39"/>
      <c r="E251" s="41"/>
      <c r="F251" s="23"/>
      <c r="G251" s="39"/>
      <c r="H251" s="23"/>
      <c r="I251" s="23"/>
      <c r="J251" s="23"/>
    </row>
    <row r="252" spans="1:10" ht="13.2" x14ac:dyDescent="0.25">
      <c r="A252" s="42"/>
      <c r="B252" s="22"/>
      <c r="C252" s="23"/>
      <c r="D252" s="39"/>
      <c r="E252" s="41"/>
      <c r="F252" s="23"/>
      <c r="G252" s="39"/>
      <c r="H252" s="23"/>
      <c r="I252" s="23"/>
      <c r="J252" s="23"/>
    </row>
    <row r="253" spans="1:10" ht="13.2" x14ac:dyDescent="0.25">
      <c r="A253" s="42"/>
      <c r="B253" s="22"/>
      <c r="C253" s="23"/>
      <c r="D253" s="39"/>
      <c r="E253" s="41"/>
      <c r="F253" s="23"/>
      <c r="G253" s="39"/>
      <c r="H253" s="23"/>
      <c r="I253" s="23"/>
      <c r="J253" s="23"/>
    </row>
    <row r="254" spans="1:10" ht="13.2" x14ac:dyDescent="0.25">
      <c r="A254" s="54"/>
      <c r="B254" s="22"/>
      <c r="C254" s="39"/>
      <c r="D254" s="40"/>
      <c r="E254" s="40"/>
      <c r="F254" s="23"/>
      <c r="G254" s="39"/>
      <c r="H254" s="23"/>
      <c r="I254" s="23"/>
      <c r="J254" s="39"/>
    </row>
    <row r="255" spans="1:10" ht="13.2" x14ac:dyDescent="0.25">
      <c r="A255" s="55"/>
      <c r="B255" s="22"/>
      <c r="C255" s="39"/>
      <c r="D255" s="40"/>
      <c r="E255" s="40"/>
      <c r="F255" s="23"/>
      <c r="G255" s="39"/>
      <c r="H255" s="23"/>
      <c r="I255" s="23"/>
      <c r="J255" s="39"/>
    </row>
    <row r="256" spans="1:10" ht="13.2" x14ac:dyDescent="0.25">
      <c r="A256" s="56"/>
      <c r="B256" s="22"/>
      <c r="C256" s="39"/>
      <c r="D256" s="40"/>
      <c r="E256" s="40"/>
      <c r="F256" s="23"/>
      <c r="G256" s="39"/>
      <c r="H256" s="23"/>
      <c r="I256" s="23"/>
      <c r="J256" s="39"/>
    </row>
  </sheetData>
  <mergeCells count="23">
    <mergeCell ref="A12:A17"/>
    <mergeCell ref="A22:A25"/>
    <mergeCell ref="A32:A34"/>
    <mergeCell ref="A42:A44"/>
    <mergeCell ref="A106:A108"/>
    <mergeCell ref="A77:A79"/>
    <mergeCell ref="A84:A86"/>
    <mergeCell ref="A52:A54"/>
    <mergeCell ref="A99:A101"/>
    <mergeCell ref="A173:A175"/>
    <mergeCell ref="A181:A183"/>
    <mergeCell ref="A149:A151"/>
    <mergeCell ref="A157:A159"/>
    <mergeCell ref="A254:A256"/>
    <mergeCell ref="A189:A191"/>
    <mergeCell ref="A197:A199"/>
    <mergeCell ref="A205:A207"/>
    <mergeCell ref="A112:A114"/>
    <mergeCell ref="A92:A94"/>
    <mergeCell ref="A165:A167"/>
    <mergeCell ref="A120:A122"/>
    <mergeCell ref="A131:A133"/>
    <mergeCell ref="A140:A142"/>
  </mergeCells>
  <dataValidations count="1">
    <dataValidation type="list" allowBlank="1" showInputMessage="1" showErrorMessage="1" sqref="H247:I248 H13:I21 H239:I240 H141:I148 H182:I188 H190:I196 H206:I214 H222:I223 H158:I164 H166:I172 I29:I31 H231:I232 I38:I41 H174:I180 I57:I59 I68:I73 H93:H97 H132:I139 H150:I156 H43:I46 H61:H65 I61:I66 H107:I111 H113:I119 H23:I28 I93:I98 H85:H89 H33:I37 H68:H72 H198:I204 H100:H104 I100:I105 H74:I76 I47:I51 H91:I91 I85:I90 H78:H82 I78:I83 H121:I130 H58:H59 H53:I56" xr:uid="{7061F97C-16B1-4979-B4E8-F83FDCE833F9}">
      <formula1>#REF!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39113B-EE7E-46E6-B17B-0ED15B40F575}">
          <x14:formula1>
            <xm:f>Data!$B$3:$B$35</xm:f>
          </x14:formula1>
          <xm:sqref>H12 H233:H238 H140 H241:H246 H189 H215:H221 H249:H256 H224:H230 H67 H197 H60 H106 H165 H173 H181 H92 H120 H131 H84 H149 H157 H22 H205 H99 H32 H42 H77 H112 H52</xm:sqref>
        </x14:dataValidation>
        <x14:dataValidation type="list" allowBlank="1" showInputMessage="1" showErrorMessage="1" xr:uid="{A9713CF9-1637-4847-9B71-835D764F8C90}">
          <x14:formula1>
            <xm:f>Data!$D$3:$D$7</xm:f>
          </x14:formula1>
          <xm:sqref>I12 I233:I238 I241:I246 I205 I215:I221 I249:I256 I224:I230 I22 I181 I197 I92 I60 I157 I165 I173 I42 I140 I84 I120 I131 I149 I189 I99 I32 I52 I106 I77 I112 I67</xm:sqref>
        </x14:dataValidation>
        <x14:dataValidation type="list" allowBlank="1" showInputMessage="1" showErrorMessage="1" xr:uid="{3594C4AB-8E49-45CF-BA74-D7062586AD02}">
          <x14:formula1>
            <xm:f>Data!$D$10:$D$13</xm:f>
          </x14:formula1>
          <xm:sqref>F12:F256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609B-175F-46BD-A111-7CC81FB7F56C}">
  <dimension ref="A1:D35"/>
  <sheetViews>
    <sheetView topLeftCell="A31" workbookViewId="0">
      <selection activeCell="D44" sqref="D44"/>
    </sheetView>
  </sheetViews>
  <sheetFormatPr defaultRowHeight="13.2" x14ac:dyDescent="0.25"/>
  <cols>
    <col min="2" max="2" width="50.44140625" customWidth="1"/>
    <col min="4" max="4" width="18.33203125" customWidth="1"/>
  </cols>
  <sheetData>
    <row r="1" spans="1:4" x14ac:dyDescent="0.25">
      <c r="A1" s="34"/>
      <c r="B1" s="34"/>
      <c r="C1" s="34"/>
      <c r="D1" s="34"/>
    </row>
    <row r="2" spans="1:4" x14ac:dyDescent="0.25">
      <c r="A2" s="34"/>
      <c r="B2" s="35" t="s">
        <v>26</v>
      </c>
      <c r="C2" s="34"/>
      <c r="D2" s="36" t="s">
        <v>27</v>
      </c>
    </row>
    <row r="3" spans="1:4" x14ac:dyDescent="0.25">
      <c r="A3" s="34"/>
      <c r="B3" s="37" t="s">
        <v>85</v>
      </c>
      <c r="C3" s="34"/>
      <c r="D3" s="37" t="s">
        <v>1</v>
      </c>
    </row>
    <row r="4" spans="1:4" x14ac:dyDescent="0.25">
      <c r="A4" s="34"/>
      <c r="B4" s="37" t="s">
        <v>86</v>
      </c>
      <c r="C4" s="34"/>
      <c r="D4" s="37" t="s">
        <v>2</v>
      </c>
    </row>
    <row r="5" spans="1:4" x14ac:dyDescent="0.25">
      <c r="A5" s="34"/>
      <c r="B5" s="37" t="s">
        <v>87</v>
      </c>
      <c r="C5" s="34"/>
      <c r="D5" s="38" t="s">
        <v>3</v>
      </c>
    </row>
    <row r="6" spans="1:4" x14ac:dyDescent="0.25">
      <c r="A6" s="34"/>
      <c r="B6" s="37" t="s">
        <v>88</v>
      </c>
      <c r="C6" s="34"/>
      <c r="D6" s="37" t="s">
        <v>4</v>
      </c>
    </row>
    <row r="7" spans="1:4" x14ac:dyDescent="0.25">
      <c r="A7" s="34"/>
      <c r="B7" s="37" t="s">
        <v>89</v>
      </c>
      <c r="C7" s="34"/>
      <c r="D7" s="37" t="s">
        <v>5</v>
      </c>
    </row>
    <row r="8" spans="1:4" x14ac:dyDescent="0.25">
      <c r="A8" s="34"/>
      <c r="B8" s="37" t="s">
        <v>90</v>
      </c>
      <c r="C8" s="34"/>
      <c r="D8" s="34"/>
    </row>
    <row r="9" spans="1:4" x14ac:dyDescent="0.25">
      <c r="A9" s="34"/>
      <c r="B9" s="37" t="s">
        <v>91</v>
      </c>
      <c r="C9" s="34"/>
      <c r="D9" s="35" t="s">
        <v>9</v>
      </c>
    </row>
    <row r="10" spans="1:4" x14ac:dyDescent="0.25">
      <c r="A10" s="34"/>
      <c r="B10" s="37" t="s">
        <v>92</v>
      </c>
      <c r="C10" s="34"/>
      <c r="D10" s="37">
        <v>1</v>
      </c>
    </row>
    <row r="11" spans="1:4" x14ac:dyDescent="0.25">
      <c r="A11" s="34"/>
      <c r="B11" s="37" t="s">
        <v>93</v>
      </c>
      <c r="C11" s="34"/>
      <c r="D11" s="37">
        <v>2</v>
      </c>
    </row>
    <row r="12" spans="1:4" x14ac:dyDescent="0.25">
      <c r="A12" s="34"/>
      <c r="B12" s="37" t="s">
        <v>94</v>
      </c>
      <c r="C12" s="34"/>
      <c r="D12" s="37">
        <v>3</v>
      </c>
    </row>
    <row r="13" spans="1:4" x14ac:dyDescent="0.25">
      <c r="A13" s="34"/>
      <c r="B13" s="37" t="s">
        <v>95</v>
      </c>
      <c r="C13" s="34"/>
      <c r="D13" s="37">
        <v>4</v>
      </c>
    </row>
    <row r="14" spans="1:4" x14ac:dyDescent="0.25">
      <c r="A14" s="34"/>
      <c r="B14" s="37" t="s">
        <v>96</v>
      </c>
      <c r="C14" s="34"/>
      <c r="D14" s="34"/>
    </row>
    <row r="15" spans="1:4" x14ac:dyDescent="0.25">
      <c r="A15" s="34"/>
      <c r="B15" s="37" t="s">
        <v>97</v>
      </c>
      <c r="C15" s="34"/>
      <c r="D15" s="34"/>
    </row>
    <row r="16" spans="1:4" x14ac:dyDescent="0.25">
      <c r="A16" s="34"/>
      <c r="B16" s="37" t="s">
        <v>98</v>
      </c>
      <c r="C16" s="34"/>
      <c r="D16" s="34"/>
    </row>
    <row r="17" spans="1:4" x14ac:dyDescent="0.25">
      <c r="A17" s="34"/>
      <c r="B17" s="37" t="s">
        <v>99</v>
      </c>
      <c r="C17" s="34"/>
      <c r="D17" s="34"/>
    </row>
    <row r="18" spans="1:4" x14ac:dyDescent="0.25">
      <c r="A18" s="34"/>
      <c r="B18" s="37" t="s">
        <v>100</v>
      </c>
      <c r="C18" s="34"/>
      <c r="D18" s="34"/>
    </row>
    <row r="19" spans="1:4" x14ac:dyDescent="0.25">
      <c r="A19" s="34"/>
      <c r="B19" s="37" t="s">
        <v>101</v>
      </c>
      <c r="C19" s="34"/>
      <c r="D19" s="34"/>
    </row>
    <row r="20" spans="1:4" x14ac:dyDescent="0.25">
      <c r="A20" s="34"/>
      <c r="B20" s="37" t="s">
        <v>102</v>
      </c>
      <c r="C20" s="34"/>
      <c r="D20" s="34"/>
    </row>
    <row r="21" spans="1:4" x14ac:dyDescent="0.25">
      <c r="A21" s="34"/>
      <c r="B21" s="37" t="s">
        <v>103</v>
      </c>
      <c r="C21" s="34"/>
      <c r="D21" s="34"/>
    </row>
    <row r="22" spans="1:4" x14ac:dyDescent="0.25">
      <c r="A22" s="34"/>
      <c r="B22" s="37" t="s">
        <v>104</v>
      </c>
      <c r="C22" s="34"/>
      <c r="D22" s="34"/>
    </row>
    <row r="23" spans="1:4" x14ac:dyDescent="0.25">
      <c r="A23" s="34"/>
      <c r="B23" s="37" t="s">
        <v>105</v>
      </c>
      <c r="C23" s="34"/>
      <c r="D23" s="34"/>
    </row>
    <row r="24" spans="1:4" x14ac:dyDescent="0.25">
      <c r="A24" s="34"/>
      <c r="B24" s="37" t="s">
        <v>106</v>
      </c>
      <c r="C24" s="34"/>
      <c r="D24" s="34"/>
    </row>
    <row r="25" spans="1:4" x14ac:dyDescent="0.25">
      <c r="A25" s="34"/>
      <c r="B25" s="37" t="s">
        <v>107</v>
      </c>
      <c r="C25" s="34"/>
      <c r="D25" s="34"/>
    </row>
    <row r="26" spans="1:4" x14ac:dyDescent="0.25">
      <c r="A26" s="34"/>
      <c r="B26" s="37" t="s">
        <v>108</v>
      </c>
      <c r="C26" s="34"/>
      <c r="D26" s="34"/>
    </row>
    <row r="27" spans="1:4" x14ac:dyDescent="0.25">
      <c r="A27" s="34"/>
      <c r="B27" s="37" t="s">
        <v>109</v>
      </c>
      <c r="C27" s="34"/>
      <c r="D27" s="34"/>
    </row>
    <row r="28" spans="1:4" x14ac:dyDescent="0.25">
      <c r="A28" s="34"/>
      <c r="B28" s="37" t="s">
        <v>110</v>
      </c>
      <c r="C28" s="34"/>
      <c r="D28" s="34"/>
    </row>
    <row r="29" spans="1:4" x14ac:dyDescent="0.25">
      <c r="A29" s="34"/>
      <c r="B29" s="37" t="s">
        <v>111</v>
      </c>
      <c r="C29" s="34"/>
      <c r="D29" s="34"/>
    </row>
    <row r="30" spans="1:4" x14ac:dyDescent="0.25">
      <c r="A30" s="34"/>
      <c r="B30" s="37" t="s">
        <v>112</v>
      </c>
      <c r="C30" s="34"/>
      <c r="D30" s="34"/>
    </row>
    <row r="31" spans="1:4" x14ac:dyDescent="0.25">
      <c r="A31" s="34"/>
      <c r="B31" s="37" t="s">
        <v>113</v>
      </c>
      <c r="C31" s="34"/>
      <c r="D31" s="34"/>
    </row>
    <row r="32" spans="1:4" x14ac:dyDescent="0.25">
      <c r="A32" s="34"/>
      <c r="B32" s="37" t="s">
        <v>114</v>
      </c>
      <c r="C32" s="34"/>
      <c r="D32" s="34"/>
    </row>
    <row r="33" spans="1:4" x14ac:dyDescent="0.25">
      <c r="A33" s="34"/>
      <c r="B33" s="37" t="s">
        <v>115</v>
      </c>
      <c r="C33" s="34"/>
      <c r="D33" s="34"/>
    </row>
    <row r="34" spans="1:4" x14ac:dyDescent="0.25">
      <c r="A34" s="34"/>
      <c r="B34" s="37" t="s">
        <v>116</v>
      </c>
      <c r="C34" s="34"/>
      <c r="D34" s="34"/>
    </row>
    <row r="35" spans="1:4" x14ac:dyDescent="0.25">
      <c r="A35" s="34"/>
      <c r="B35" t="s">
        <v>117</v>
      </c>
      <c r="C35" s="34"/>
      <c r="D35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2DB4D6AE1BFC4087E4BD880938A0AB" ma:contentTypeVersion="12" ma:contentTypeDescription="Create a new document." ma:contentTypeScope="" ma:versionID="da7d4fc98c328884feca96abab939ec1">
  <xsd:schema xmlns:xsd="http://www.w3.org/2001/XMLSchema" xmlns:xs="http://www.w3.org/2001/XMLSchema" xmlns:p="http://schemas.microsoft.com/office/2006/metadata/properties" xmlns:ns2="36512358-2fc6-4d7f-a382-a3ea34c62cf6" xmlns:ns3="b313ff5a-1904-4b6a-829e-46e21d1cc1a1" targetNamespace="http://schemas.microsoft.com/office/2006/metadata/properties" ma:root="true" ma:fieldsID="4e51f07f8935b8365f858da8eb840640" ns2:_="" ns3:_="">
    <xsd:import namespace="36512358-2fc6-4d7f-a382-a3ea34c62cf6"/>
    <xsd:import namespace="b313ff5a-1904-4b6a-829e-46e21d1cc1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12358-2fc6-4d7f-a382-a3ea34c62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294779-0f91-462f-a563-7bbde6254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3ff5a-1904-4b6a-829e-46e21d1cc1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a4fba9-4432-4183-a266-93316cb42a89}" ma:internalName="TaxCatchAll" ma:showField="CatchAllData" ma:web="b313ff5a-1904-4b6a-829e-46e21d1cc1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36512358-2fc6-4d7f-a382-a3ea34c62cf6" xsi:nil="true"/>
    <lcf76f155ced4ddcb4097134ff3c332f xmlns="36512358-2fc6-4d7f-a382-a3ea34c62cf6">
      <Terms xmlns="http://schemas.microsoft.com/office/infopath/2007/PartnerControls"/>
    </lcf76f155ced4ddcb4097134ff3c332f>
    <TaxCatchAll xmlns="b313ff5a-1904-4b6a-829e-46e21d1cc1a1" xsi:nil="true"/>
  </documentManagement>
</p:properties>
</file>

<file path=customXml/itemProps1.xml><?xml version="1.0" encoding="utf-8"?>
<ds:datastoreItem xmlns:ds="http://schemas.openxmlformats.org/officeDocument/2006/customXml" ds:itemID="{1E2F901A-A640-4EA7-B547-E46958B083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986E14-01A5-4D2D-9827-0A4DEB4A7BA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F9D3876-9D09-4B42-BEBF-ECBC1DB340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512358-2fc6-4d7f-a382-a3ea34c62cf6"/>
    <ds:schemaRef ds:uri="b313ff5a-1904-4b6a-829e-46e21d1cc1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9F8076-1708-40CF-AD39-5D6DA10B9BE9}">
  <ds:schemaRefs>
    <ds:schemaRef ds:uri="http://schemas.microsoft.com/office/2006/metadata/properties"/>
    <ds:schemaRef ds:uri="http://schemas.microsoft.com/office/infopath/2007/PartnerControls"/>
    <ds:schemaRef ds:uri="36512358-2fc6-4d7f-a382-a3ea34c62cf6"/>
    <ds:schemaRef ds:uri="b313ff5a-1904-4b6a-829e-46e21d1cc1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TCs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Narshil (Nhan Cao)</dc:creator>
  <cp:keywords/>
  <dc:description/>
  <cp:lastModifiedBy>Narshil (Nhan Cao)</cp:lastModifiedBy>
  <cp:revision/>
  <dcterms:created xsi:type="dcterms:W3CDTF">2023-10-05T04:31:23Z</dcterms:created>
  <dcterms:modified xsi:type="dcterms:W3CDTF">2026-04-13T09:22:41Z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0x010100DE2DB4D6AE1BFC4087E4BD880938A0AB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xd_Signature">
    <vt:bool>false</vt:bool>
  </property>
</Properties>
</file>